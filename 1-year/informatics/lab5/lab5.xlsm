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AROSLAV\Desktop\inf\lab5\"/>
    </mc:Choice>
  </mc:AlternateContent>
  <xr:revisionPtr revIDLastSave="0" documentId="13_ncr:1_{F1782299-5EDF-4351-B962-62230B86BF3D}" xr6:coauthVersionLast="47" xr6:coauthVersionMax="47" xr10:uidLastSave="{00000000-0000-0000-0000-000000000000}"/>
  <bookViews>
    <workbookView xWindow="-98" yWindow="-98" windowWidth="24196" windowHeight="144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9" i="1" l="1"/>
  <c r="AX9" i="1"/>
  <c r="AO9" i="1"/>
  <c r="AJ9" i="1"/>
  <c r="AE9" i="1"/>
  <c r="AV7" i="1"/>
  <c r="AZ57" i="1"/>
  <c r="AT57" i="1"/>
  <c r="AO57" i="1"/>
  <c r="AJ57" i="1"/>
  <c r="AE57" i="1"/>
  <c r="AB53" i="1"/>
  <c r="AB52" i="1"/>
  <c r="BC54" i="1"/>
  <c r="AV51" i="1"/>
  <c r="AB45" i="1"/>
  <c r="AB44" i="1"/>
  <c r="BC46" i="1"/>
  <c r="AV43" i="1"/>
  <c r="AB37" i="1"/>
  <c r="AB36" i="1"/>
  <c r="BC38" i="1"/>
  <c r="AV35" i="1"/>
  <c r="AX7" i="1" a="1"/>
  <c r="AX7" i="1" l="1"/>
  <c r="AB29" i="1"/>
  <c r="AB28" i="1"/>
  <c r="BC30" i="1"/>
  <c r="AV27" i="1"/>
  <c r="AB21" i="1"/>
  <c r="AB20" i="1"/>
  <c r="BC22" i="1"/>
  <c r="AV19" i="1"/>
  <c r="BC14" i="1"/>
  <c r="AB13" i="1"/>
  <c r="AB12" i="1"/>
  <c r="AV11" i="1"/>
  <c r="BC6" i="1"/>
  <c r="AB5" i="1"/>
  <c r="AB4" i="1"/>
  <c r="AV3" i="1"/>
  <c r="C8" i="1" l="1"/>
  <c r="C7" i="1"/>
  <c r="C6" i="1"/>
  <c r="C5" i="1"/>
  <c r="C4" i="1"/>
  <c r="G6" i="1" a="1"/>
  <c r="G5" i="1" a="1"/>
  <c r="G8" i="1" a="1"/>
  <c r="G7" i="1" a="1"/>
  <c r="G4" i="1" a="1"/>
  <c r="T7" i="1" l="1"/>
  <c r="U7" i="1"/>
  <c r="V7" i="1"/>
  <c r="W7" i="1"/>
  <c r="Y7" i="1"/>
  <c r="H7" i="1"/>
  <c r="K7" i="1"/>
  <c r="X7" i="1"/>
  <c r="J7" i="1"/>
  <c r="O7" i="1"/>
  <c r="P7" i="1"/>
  <c r="Q7" i="1"/>
  <c r="R7" i="1"/>
  <c r="G7" i="1"/>
  <c r="I7" i="1"/>
  <c r="S7" i="1"/>
  <c r="M7" i="1"/>
  <c r="N7" i="1"/>
  <c r="L7" i="1"/>
  <c r="P8" i="1"/>
  <c r="R8" i="1"/>
  <c r="X8" i="1"/>
  <c r="G8" i="1"/>
  <c r="H8" i="1"/>
  <c r="I8" i="1"/>
  <c r="Q8" i="1"/>
  <c r="Y8" i="1"/>
  <c r="S8" i="1"/>
  <c r="U8" i="1"/>
  <c r="V8" i="1"/>
  <c r="J8" i="1"/>
  <c r="K8" i="1"/>
  <c r="L8" i="1"/>
  <c r="M8" i="1"/>
  <c r="N8" i="1"/>
  <c r="O8" i="1"/>
  <c r="T8" i="1"/>
  <c r="W8" i="1"/>
  <c r="W5" i="1"/>
  <c r="AT5" i="1" s="1"/>
  <c r="Y5" i="1"/>
  <c r="G5" i="1"/>
  <c r="S5" i="1"/>
  <c r="X5" i="1"/>
  <c r="AU5" i="1" s="1"/>
  <c r="J5" i="1"/>
  <c r="N5" i="1"/>
  <c r="AK5" i="1" s="1"/>
  <c r="L5" i="1"/>
  <c r="M5" i="1"/>
  <c r="R5" i="1"/>
  <c r="K5" i="1"/>
  <c r="AH5" i="1" s="1"/>
  <c r="AH7" i="1" s="1"/>
  <c r="H5" i="1"/>
  <c r="I5" i="1"/>
  <c r="T5" i="1"/>
  <c r="U5" i="1"/>
  <c r="O5" i="1"/>
  <c r="Q5" i="1"/>
  <c r="V5" i="1"/>
  <c r="AS5" i="1" s="1"/>
  <c r="P5" i="1"/>
  <c r="S6" i="1"/>
  <c r="X6" i="1"/>
  <c r="Y6" i="1"/>
  <c r="J6" i="1"/>
  <c r="K6" i="1"/>
  <c r="U6" i="1"/>
  <c r="G6" i="1"/>
  <c r="W6" i="1"/>
  <c r="L6" i="1"/>
  <c r="V6" i="1"/>
  <c r="H6" i="1"/>
  <c r="R6" i="1"/>
  <c r="M6" i="1"/>
  <c r="N6" i="1"/>
  <c r="O6" i="1"/>
  <c r="P6" i="1"/>
  <c r="Q6" i="1"/>
  <c r="I6" i="1"/>
  <c r="T6" i="1"/>
  <c r="C13" i="1"/>
  <c r="C14" i="1"/>
  <c r="BC44" i="1"/>
  <c r="AZ47" i="1"/>
  <c r="AZ7" i="1"/>
  <c r="AZ15" i="1"/>
  <c r="BC20" i="1"/>
  <c r="BC12" i="1"/>
  <c r="C12" i="1"/>
  <c r="BC53" i="1"/>
  <c r="BC13" i="1"/>
  <c r="C10" i="1"/>
  <c r="BC4" i="1"/>
  <c r="C11" i="1"/>
  <c r="BC5" i="1"/>
  <c r="AD5" i="1"/>
  <c r="AF5" i="1"/>
  <c r="AP5" i="1"/>
  <c r="AQ5" i="1"/>
  <c r="AG5" i="1"/>
  <c r="AI5" i="1"/>
  <c r="AJ5" i="1"/>
  <c r="AL5" i="1"/>
  <c r="AR5" i="1"/>
  <c r="AR7" i="1" s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C9" i="1"/>
  <c r="G12" i="1" a="1"/>
  <c r="G10" i="1" a="1"/>
  <c r="G11" i="1" a="1"/>
  <c r="G9" i="1" a="1"/>
  <c r="G13" i="1" a="1"/>
  <c r="G14" i="1" a="1"/>
  <c r="BC7" i="1" l="1"/>
  <c r="R14" i="1"/>
  <c r="AO52" i="1" s="1"/>
  <c r="T14" i="1"/>
  <c r="AQ52" i="1" s="1"/>
  <c r="U14" i="1"/>
  <c r="AR52" i="1" s="1"/>
  <c r="X14" i="1"/>
  <c r="AU52" i="1" s="1"/>
  <c r="S14" i="1"/>
  <c r="AP52" i="1" s="1"/>
  <c r="V14" i="1"/>
  <c r="AS52" i="1" s="1"/>
  <c r="Y14" i="1"/>
  <c r="AV52" i="1" s="1"/>
  <c r="J14" i="1"/>
  <c r="AG52" i="1" s="1"/>
  <c r="W14" i="1"/>
  <c r="AT52" i="1" s="1"/>
  <c r="G14" i="1"/>
  <c r="AD52" i="1" s="1"/>
  <c r="P14" i="1"/>
  <c r="AM52" i="1" s="1"/>
  <c r="K14" i="1"/>
  <c r="AH52" i="1" s="1"/>
  <c r="L14" i="1"/>
  <c r="AI52" i="1" s="1"/>
  <c r="M14" i="1"/>
  <c r="AJ52" i="1" s="1"/>
  <c r="N14" i="1"/>
  <c r="AK52" i="1" s="1"/>
  <c r="O14" i="1"/>
  <c r="AL52" i="1" s="1"/>
  <c r="Q14" i="1"/>
  <c r="AN52" i="1" s="1"/>
  <c r="H14" i="1"/>
  <c r="AE52" i="1" s="1"/>
  <c r="I14" i="1"/>
  <c r="AF52" i="1" s="1"/>
  <c r="O13" i="1"/>
  <c r="P13" i="1"/>
  <c r="Q13" i="1"/>
  <c r="Y13" i="1"/>
  <c r="T13" i="1"/>
  <c r="V13" i="1"/>
  <c r="H13" i="1"/>
  <c r="S13" i="1"/>
  <c r="R13" i="1"/>
  <c r="I13" i="1"/>
  <c r="U13" i="1"/>
  <c r="G13" i="1"/>
  <c r="W13" i="1"/>
  <c r="N13" i="1"/>
  <c r="X13" i="1"/>
  <c r="J13" i="1"/>
  <c r="K13" i="1"/>
  <c r="L13" i="1"/>
  <c r="M13" i="1"/>
  <c r="N9" i="1"/>
  <c r="G9" i="1"/>
  <c r="H9" i="1"/>
  <c r="I9" i="1"/>
  <c r="T9" i="1"/>
  <c r="U9" i="1"/>
  <c r="V9" i="1"/>
  <c r="S9" i="1"/>
  <c r="X9" i="1"/>
  <c r="Y9" i="1"/>
  <c r="K9" i="1"/>
  <c r="L9" i="1"/>
  <c r="M9" i="1"/>
  <c r="O9" i="1"/>
  <c r="P9" i="1"/>
  <c r="Q9" i="1"/>
  <c r="R9" i="1"/>
  <c r="J9" i="1"/>
  <c r="W9" i="1"/>
  <c r="S11" i="1"/>
  <c r="T11" i="1"/>
  <c r="U11" i="1"/>
  <c r="Y11" i="1"/>
  <c r="X11" i="1"/>
  <c r="I11" i="1"/>
  <c r="V11" i="1"/>
  <c r="W11" i="1"/>
  <c r="R11" i="1"/>
  <c r="M11" i="1"/>
  <c r="N11" i="1"/>
  <c r="O11" i="1"/>
  <c r="P11" i="1"/>
  <c r="Q11" i="1"/>
  <c r="G11" i="1"/>
  <c r="H11" i="1"/>
  <c r="J11" i="1"/>
  <c r="L11" i="1"/>
  <c r="K11" i="1"/>
  <c r="P10" i="1"/>
  <c r="V10" i="1"/>
  <c r="W10" i="1"/>
  <c r="Y10" i="1"/>
  <c r="H10" i="1"/>
  <c r="S10" i="1"/>
  <c r="I10" i="1"/>
  <c r="U10" i="1"/>
  <c r="X10" i="1"/>
  <c r="G10" i="1"/>
  <c r="N10" i="1"/>
  <c r="Q10" i="1"/>
  <c r="T10" i="1"/>
  <c r="O10" i="1"/>
  <c r="R10" i="1"/>
  <c r="J10" i="1"/>
  <c r="K10" i="1"/>
  <c r="L10" i="1"/>
  <c r="M10" i="1"/>
  <c r="P12" i="1"/>
  <c r="AM37" i="1" s="1"/>
  <c r="AM39" i="1" s="1"/>
  <c r="K12" i="1"/>
  <c r="AH37" i="1" s="1"/>
  <c r="AH39" i="1" s="1"/>
  <c r="M12" i="1"/>
  <c r="AJ37" i="1" s="1"/>
  <c r="S12" i="1"/>
  <c r="AP37" i="1" s="1"/>
  <c r="V12" i="1"/>
  <c r="AS37" i="1" s="1"/>
  <c r="Q12" i="1"/>
  <c r="AN37" i="1" s="1"/>
  <c r="I12" i="1"/>
  <c r="AF37" i="1" s="1"/>
  <c r="U12" i="1"/>
  <c r="AR37" i="1" s="1"/>
  <c r="AR39" i="1" s="1"/>
  <c r="R12" i="1"/>
  <c r="AO37" i="1" s="1"/>
  <c r="T12" i="1"/>
  <c r="AQ37" i="1" s="1"/>
  <c r="J12" i="1"/>
  <c r="AG37" i="1" s="1"/>
  <c r="L12" i="1"/>
  <c r="AI37" i="1" s="1"/>
  <c r="N12" i="1"/>
  <c r="AK37" i="1" s="1"/>
  <c r="O12" i="1"/>
  <c r="AL37" i="1" s="1"/>
  <c r="W12" i="1"/>
  <c r="AT37" i="1" s="1"/>
  <c r="X12" i="1"/>
  <c r="AU37" i="1" s="1"/>
  <c r="H12" i="1"/>
  <c r="AE37" i="1" s="1"/>
  <c r="Y12" i="1"/>
  <c r="AV37" i="1" s="1"/>
  <c r="G12" i="1"/>
  <c r="AD37" i="1" s="1"/>
  <c r="AE4" i="1"/>
  <c r="AE44" i="1"/>
  <c r="AE12" i="1"/>
  <c r="AE20" i="1"/>
  <c r="AD4" i="1"/>
  <c r="AD44" i="1"/>
  <c r="AP4" i="1"/>
  <c r="AP44" i="1"/>
  <c r="AO4" i="1"/>
  <c r="AO44" i="1"/>
  <c r="AV13" i="1"/>
  <c r="AV53" i="1"/>
  <c r="AV20" i="1"/>
  <c r="AV12" i="1"/>
  <c r="AN4" i="1"/>
  <c r="AN44" i="1"/>
  <c r="AU13" i="1"/>
  <c r="AU53" i="1"/>
  <c r="AT20" i="1"/>
  <c r="AT12" i="1"/>
  <c r="AM4" i="1"/>
  <c r="AM44" i="1"/>
  <c r="BC52" i="1"/>
  <c r="BC55" i="1" s="1"/>
  <c r="AZ55" i="1"/>
  <c r="AP13" i="1"/>
  <c r="AP53" i="1"/>
  <c r="AL4" i="1"/>
  <c r="AL44" i="1"/>
  <c r="AE5" i="1"/>
  <c r="AM12" i="1"/>
  <c r="AM20" i="1"/>
  <c r="AK4" i="1"/>
  <c r="AK44" i="1"/>
  <c r="AQ53" i="1"/>
  <c r="AQ13" i="1"/>
  <c r="AS20" i="1"/>
  <c r="AS12" i="1"/>
  <c r="AJ4" i="1"/>
  <c r="AJ44" i="1"/>
  <c r="AF13" i="1"/>
  <c r="AF53" i="1"/>
  <c r="AN20" i="1"/>
  <c r="AN12" i="1"/>
  <c r="AI4" i="1"/>
  <c r="AI44" i="1"/>
  <c r="AM5" i="1"/>
  <c r="AM7" i="1" s="1"/>
  <c r="AN13" i="1"/>
  <c r="AN53" i="1"/>
  <c r="AL20" i="1"/>
  <c r="AL12" i="1"/>
  <c r="AH4" i="1"/>
  <c r="AH44" i="1"/>
  <c r="AM13" i="1"/>
  <c r="AM15" i="1" s="1"/>
  <c r="AM53" i="1"/>
  <c r="AM55" i="1" s="1"/>
  <c r="AR20" i="1"/>
  <c r="AR12" i="1"/>
  <c r="AG4" i="1"/>
  <c r="AG44" i="1"/>
  <c r="AL13" i="1"/>
  <c r="AL53" i="1"/>
  <c r="AQ12" i="1"/>
  <c r="AQ20" i="1"/>
  <c r="AF4" i="1"/>
  <c r="AF44" i="1"/>
  <c r="AK13" i="1"/>
  <c r="AK53" i="1"/>
  <c r="AF20" i="1"/>
  <c r="AF12" i="1"/>
  <c r="AJ13" i="1"/>
  <c r="AJ53" i="1"/>
  <c r="AO13" i="1"/>
  <c r="AO53" i="1"/>
  <c r="AH20" i="1"/>
  <c r="AH12" i="1"/>
  <c r="BC29" i="1"/>
  <c r="BC31" i="1" s="1"/>
  <c r="BC45" i="1"/>
  <c r="BC47" i="1" s="1"/>
  <c r="BC36" i="1"/>
  <c r="AZ39" i="1"/>
  <c r="AE13" i="1"/>
  <c r="AE53" i="1"/>
  <c r="AO20" i="1"/>
  <c r="AO12" i="1"/>
  <c r="AV4" i="1"/>
  <c r="AV44" i="1"/>
  <c r="AV5" i="1"/>
  <c r="AS53" i="1"/>
  <c r="AS13" i="1"/>
  <c r="AJ12" i="1"/>
  <c r="AJ20" i="1"/>
  <c r="AU4" i="1"/>
  <c r="AU44" i="1"/>
  <c r="BC28" i="1"/>
  <c r="AZ31" i="1"/>
  <c r="BC21" i="1"/>
  <c r="BC23" i="1" s="1"/>
  <c r="BC37" i="1"/>
  <c r="AI13" i="1"/>
  <c r="AI53" i="1"/>
  <c r="AI20" i="1"/>
  <c r="AI12" i="1"/>
  <c r="AT4" i="1"/>
  <c r="AT44" i="1"/>
  <c r="BC15" i="1"/>
  <c r="AT13" i="1"/>
  <c r="AT53" i="1"/>
  <c r="AK12" i="1"/>
  <c r="AK20" i="1"/>
  <c r="AS4" i="1"/>
  <c r="AS44" i="1"/>
  <c r="AD53" i="1"/>
  <c r="AD13" i="1"/>
  <c r="AG20" i="1"/>
  <c r="AG12" i="1"/>
  <c r="AR4" i="1"/>
  <c r="AR44" i="1"/>
  <c r="AO5" i="1"/>
  <c r="AR13" i="1"/>
  <c r="AR15" i="1" s="1"/>
  <c r="AR53" i="1"/>
  <c r="AR55" i="1" s="1"/>
  <c r="AU20" i="1"/>
  <c r="AU12" i="1"/>
  <c r="AQ4" i="1"/>
  <c r="AQ44" i="1"/>
  <c r="AN5" i="1"/>
  <c r="AZ23" i="1"/>
  <c r="AH53" i="1"/>
  <c r="AH55" i="1" s="1"/>
  <c r="AH13" i="1"/>
  <c r="AH15" i="1" s="1"/>
  <c r="AP12" i="1"/>
  <c r="AP20" i="1"/>
  <c r="AG13" i="1"/>
  <c r="AG53" i="1"/>
  <c r="AD12" i="1"/>
  <c r="AD20" i="1"/>
  <c r="C15" i="1"/>
  <c r="G15" i="1" a="1"/>
  <c r="AU3" i="1" l="1"/>
  <c r="AU11" i="1"/>
  <c r="AU51" i="1"/>
  <c r="AT51" i="1"/>
  <c r="V15" i="1"/>
  <c r="X15" i="1"/>
  <c r="Y15" i="1"/>
  <c r="I15" i="1"/>
  <c r="H15" i="1"/>
  <c r="S15" i="1"/>
  <c r="T15" i="1"/>
  <c r="W15" i="1"/>
  <c r="G15" i="1"/>
  <c r="R15" i="1"/>
  <c r="U15" i="1"/>
  <c r="J15" i="1"/>
  <c r="K15" i="1"/>
  <c r="L15" i="1"/>
  <c r="M15" i="1"/>
  <c r="N15" i="1"/>
  <c r="O15" i="1"/>
  <c r="P15" i="1"/>
  <c r="Q15" i="1"/>
  <c r="AL21" i="1"/>
  <c r="AL28" i="1"/>
  <c r="AM45" i="1"/>
  <c r="AM47" i="1" s="1"/>
  <c r="AM36" i="1"/>
  <c r="AM29" i="1"/>
  <c r="AM31" i="1" s="1"/>
  <c r="AN28" i="1"/>
  <c r="AN21" i="1"/>
  <c r="AK29" i="1"/>
  <c r="AK36" i="1"/>
  <c r="AK45" i="1"/>
  <c r="AS51" i="1"/>
  <c r="AQ51" i="1" s="1"/>
  <c r="AQ55" i="1" s="1"/>
  <c r="AT3" i="1"/>
  <c r="AS3" i="1" s="1"/>
  <c r="AQ3" i="1" s="1"/>
  <c r="AV15" i="1"/>
  <c r="AU21" i="1"/>
  <c r="AU28" i="1"/>
  <c r="AT29" i="1"/>
  <c r="AT45" i="1"/>
  <c r="AT36" i="1"/>
  <c r="AR28" i="1"/>
  <c r="AR21" i="1"/>
  <c r="AR23" i="1" s="1"/>
  <c r="AS29" i="1"/>
  <c r="AS45" i="1"/>
  <c r="AS36" i="1"/>
  <c r="AP28" i="1"/>
  <c r="AP21" i="1"/>
  <c r="AU45" i="1"/>
  <c r="AU36" i="1"/>
  <c r="AU29" i="1"/>
  <c r="AT55" i="1"/>
  <c r="AV21" i="1"/>
  <c r="AV23" i="1" s="1"/>
  <c r="AV28" i="1"/>
  <c r="AR45" i="1"/>
  <c r="AR47" i="1" s="1"/>
  <c r="AR36" i="1"/>
  <c r="AR29" i="1"/>
  <c r="AR31" i="1" s="1"/>
  <c r="AU43" i="1"/>
  <c r="AT43" i="1" s="1"/>
  <c r="AT28" i="1"/>
  <c r="AT21" i="1"/>
  <c r="AQ45" i="1"/>
  <c r="AQ36" i="1"/>
  <c r="AQ29" i="1"/>
  <c r="AS28" i="1"/>
  <c r="AS21" i="1"/>
  <c r="AP45" i="1"/>
  <c r="AP36" i="1"/>
  <c r="AP29" i="1"/>
  <c r="AM21" i="1"/>
  <c r="AM23" i="1" s="1"/>
  <c r="AM28" i="1"/>
  <c r="AH29" i="1"/>
  <c r="AH31" i="1" s="1"/>
  <c r="AH36" i="1"/>
  <c r="AH45" i="1"/>
  <c r="AH47" i="1" s="1"/>
  <c r="AT11" i="1"/>
  <c r="AS11" i="1" s="1"/>
  <c r="AQ11" i="1" s="1"/>
  <c r="AO17" i="1" s="1"/>
  <c r="AP11" i="1"/>
  <c r="AJ21" i="1"/>
  <c r="AJ28" i="1"/>
  <c r="AI29" i="1"/>
  <c r="AI36" i="1"/>
  <c r="AI45" i="1"/>
  <c r="AI28" i="1"/>
  <c r="AI21" i="1"/>
  <c r="AG29" i="1"/>
  <c r="AG45" i="1"/>
  <c r="AG36" i="1"/>
  <c r="AH21" i="1"/>
  <c r="AH23" i="1" s="1"/>
  <c r="AH28" i="1"/>
  <c r="AE45" i="1"/>
  <c r="AE36" i="1"/>
  <c r="AE29" i="1"/>
  <c r="AU55" i="1"/>
  <c r="AG21" i="1"/>
  <c r="AG28" i="1"/>
  <c r="AD45" i="1"/>
  <c r="AD36" i="1"/>
  <c r="AD29" i="1"/>
  <c r="BC39" i="1"/>
  <c r="AU15" i="1"/>
  <c r="AO28" i="1"/>
  <c r="AO21" i="1"/>
  <c r="AN45" i="1"/>
  <c r="AN36" i="1"/>
  <c r="AN29" i="1"/>
  <c r="AQ28" i="1"/>
  <c r="AQ21" i="1"/>
  <c r="AL29" i="1"/>
  <c r="AL45" i="1"/>
  <c r="AL36" i="1"/>
  <c r="AK21" i="1"/>
  <c r="AK28" i="1"/>
  <c r="AJ29" i="1"/>
  <c r="AJ36" i="1"/>
  <c r="AJ45" i="1"/>
  <c r="AV55" i="1"/>
  <c r="AD21" i="1"/>
  <c r="AD28" i="1"/>
  <c r="AO29" i="1"/>
  <c r="AO45" i="1"/>
  <c r="AO36" i="1"/>
  <c r="AF21" i="1"/>
  <c r="AF28" i="1"/>
  <c r="AF29" i="1"/>
  <c r="AF45" i="1"/>
  <c r="AF36" i="1"/>
  <c r="AE21" i="1"/>
  <c r="AE28" i="1"/>
  <c r="AV45" i="1"/>
  <c r="AV47" i="1" s="1"/>
  <c r="AV36" i="1"/>
  <c r="AU35" i="1" s="1"/>
  <c r="AV29" i="1"/>
  <c r="AU7" i="1"/>
  <c r="AS7" i="1" l="1"/>
  <c r="AQ7" i="1"/>
  <c r="AT35" i="1"/>
  <c r="AS35" i="1" s="1"/>
  <c r="AQ35" i="1" s="1"/>
  <c r="AQ39" i="1" s="1"/>
  <c r="AS43" i="1"/>
  <c r="AQ43" i="1" s="1"/>
  <c r="AO49" i="1" s="1"/>
  <c r="AP3" i="1"/>
  <c r="AO3" i="1" s="1"/>
  <c r="AN3" i="1" s="1"/>
  <c r="AL3" i="1" s="1"/>
  <c r="AK3" i="1" s="1"/>
  <c r="AJ3" i="1" s="1"/>
  <c r="AI3" i="1" s="1"/>
  <c r="AG3" i="1" s="1"/>
  <c r="AF3" i="1" s="1"/>
  <c r="AE3" i="1" s="1"/>
  <c r="AD3" i="1" s="1"/>
  <c r="AC3" i="1" s="1"/>
  <c r="AU39" i="1"/>
  <c r="AT7" i="1"/>
  <c r="AV31" i="1"/>
  <c r="AU19" i="1"/>
  <c r="AU23" i="1" s="1"/>
  <c r="AP15" i="1"/>
  <c r="AO11" i="1"/>
  <c r="AT39" i="1"/>
  <c r="AU27" i="1"/>
  <c r="AT27" i="1" s="1"/>
  <c r="AS27" i="1" s="1"/>
  <c r="AQ27" i="1" s="1"/>
  <c r="AO33" i="1" s="1"/>
  <c r="AT15" i="1"/>
  <c r="AT47" i="1"/>
  <c r="AS15" i="1"/>
  <c r="AQ15" i="1"/>
  <c r="AV39" i="1"/>
  <c r="AU47" i="1"/>
  <c r="AP51" i="1"/>
  <c r="AS55" i="1"/>
  <c r="AQ47" i="1"/>
  <c r="AS47" i="1"/>
  <c r="AP7" i="1"/>
  <c r="AS31" i="1" l="1"/>
  <c r="AT19" i="1"/>
  <c r="AT23" i="1" s="1"/>
  <c r="AU31" i="1"/>
  <c r="AD7" i="1"/>
  <c r="AP35" i="1"/>
  <c r="AQ31" i="1"/>
  <c r="AO41" i="1"/>
  <c r="AP43" i="1"/>
  <c r="AP47" i="1" s="1"/>
  <c r="AP27" i="1"/>
  <c r="AP31" i="1" s="1"/>
  <c r="AT31" i="1"/>
  <c r="AS39" i="1"/>
  <c r="AO15" i="1"/>
  <c r="AN11" i="1"/>
  <c r="AO43" i="1"/>
  <c r="AO27" i="1"/>
  <c r="AP55" i="1"/>
  <c r="AO51" i="1"/>
  <c r="AO7" i="1"/>
  <c r="AS19" i="1" l="1"/>
  <c r="AP39" i="1"/>
  <c r="AO35" i="1"/>
  <c r="AN27" i="1"/>
  <c r="AO31" i="1"/>
  <c r="AL11" i="1"/>
  <c r="AN15" i="1"/>
  <c r="AN51" i="1"/>
  <c r="AO55" i="1"/>
  <c r="AN43" i="1"/>
  <c r="AO47" i="1"/>
  <c r="AN7" i="1"/>
  <c r="AL7" i="1"/>
  <c r="AQ19" i="1" l="1"/>
  <c r="AS23" i="1"/>
  <c r="AO39" i="1"/>
  <c r="AN35" i="1"/>
  <c r="AL43" i="1"/>
  <c r="AN47" i="1"/>
  <c r="AJ49" i="1" s="1"/>
  <c r="AJ17" i="1"/>
  <c r="AN55" i="1"/>
  <c r="AL51" i="1"/>
  <c r="AK11" i="1"/>
  <c r="AL15" i="1"/>
  <c r="AN31" i="1"/>
  <c r="AL27" i="1"/>
  <c r="AK7" i="1"/>
  <c r="AO25" i="1" l="1"/>
  <c r="AQ23" i="1"/>
  <c r="AP19" i="1"/>
  <c r="AN39" i="1"/>
  <c r="AJ41" i="1" s="1"/>
  <c r="AL35" i="1"/>
  <c r="AL31" i="1"/>
  <c r="AK27" i="1"/>
  <c r="AJ33" i="1"/>
  <c r="AK15" i="1"/>
  <c r="AJ11" i="1"/>
  <c r="AK51" i="1"/>
  <c r="AL55" i="1"/>
  <c r="AL47" i="1"/>
  <c r="AK43" i="1"/>
  <c r="AJ7" i="1"/>
  <c r="AP23" i="1" l="1"/>
  <c r="AO19" i="1"/>
  <c r="AK35" i="1"/>
  <c r="AL39" i="1"/>
  <c r="AK47" i="1"/>
  <c r="AJ43" i="1"/>
  <c r="AK31" i="1"/>
  <c r="AJ27" i="1"/>
  <c r="AK55" i="1"/>
  <c r="AJ51" i="1"/>
  <c r="AJ15" i="1"/>
  <c r="AI11" i="1"/>
  <c r="AI7" i="1"/>
  <c r="AG7" i="1"/>
  <c r="AN19" i="1" l="1"/>
  <c r="AO23" i="1"/>
  <c r="AK39" i="1"/>
  <c r="AJ35" i="1"/>
  <c r="AI15" i="1"/>
  <c r="AG11" i="1"/>
  <c r="AI51" i="1"/>
  <c r="AJ55" i="1"/>
  <c r="AJ31" i="1"/>
  <c r="AI27" i="1"/>
  <c r="AJ47" i="1"/>
  <c r="AI43" i="1"/>
  <c r="AF7" i="1"/>
  <c r="AN23" i="1" l="1"/>
  <c r="AJ25" i="1" s="1"/>
  <c r="AL19" i="1"/>
  <c r="AI35" i="1"/>
  <c r="AJ39" i="1"/>
  <c r="AI47" i="1"/>
  <c r="AG43" i="1"/>
  <c r="AG27" i="1"/>
  <c r="AI31" i="1"/>
  <c r="AI55" i="1"/>
  <c r="AG51" i="1"/>
  <c r="AG15" i="1"/>
  <c r="AF11" i="1"/>
  <c r="AE7" i="1"/>
  <c r="BE4" i="1" a="1"/>
  <c r="AL23" i="1" l="1"/>
  <c r="AK19" i="1"/>
  <c r="AG35" i="1"/>
  <c r="AI39" i="1"/>
  <c r="AE11" i="1"/>
  <c r="AF15" i="1"/>
  <c r="AF51" i="1"/>
  <c r="AG55" i="1"/>
  <c r="AF27" i="1"/>
  <c r="AG31" i="1"/>
  <c r="AF43" i="1"/>
  <c r="AG47" i="1"/>
  <c r="BE4" i="1"/>
  <c r="AT9" i="1"/>
  <c r="AJ19" i="1" l="1"/>
  <c r="AK23" i="1"/>
  <c r="AG39" i="1"/>
  <c r="AF35" i="1"/>
  <c r="AE43" i="1"/>
  <c r="AF47" i="1"/>
  <c r="AD11" i="1"/>
  <c r="AE15" i="1"/>
  <c r="AF31" i="1"/>
  <c r="AE27" i="1"/>
  <c r="AF55" i="1"/>
  <c r="AE51" i="1"/>
  <c r="AJ23" i="1" l="1"/>
  <c r="AI19" i="1"/>
  <c r="AF39" i="1"/>
  <c r="AE35" i="1"/>
  <c r="AD27" i="1"/>
  <c r="AE31" i="1"/>
  <c r="AD15" i="1"/>
  <c r="AC11" i="1"/>
  <c r="AE17" i="1" s="1"/>
  <c r="AD43" i="1"/>
  <c r="AE47" i="1"/>
  <c r="AD51" i="1"/>
  <c r="AE55" i="1"/>
  <c r="AX15" i="1" a="1"/>
  <c r="AG19" i="1" l="1"/>
  <c r="AI23" i="1"/>
  <c r="AE39" i="1"/>
  <c r="AD35" i="1"/>
  <c r="AX15" i="1"/>
  <c r="AZ17" i="1"/>
  <c r="AX17" i="1"/>
  <c r="AT17" i="1"/>
  <c r="AD55" i="1"/>
  <c r="AC51" i="1"/>
  <c r="AC43" i="1"/>
  <c r="AE49" i="1" s="1"/>
  <c r="AD47" i="1"/>
  <c r="AD31" i="1"/>
  <c r="AC27" i="1"/>
  <c r="AE33" i="1" s="1"/>
  <c r="AX55" i="1" a="1"/>
  <c r="AX31" i="1" a="1"/>
  <c r="BE12" i="1" a="1"/>
  <c r="AX47" i="1" a="1"/>
  <c r="AF19" i="1" l="1"/>
  <c r="AG23" i="1"/>
  <c r="AC35" i="1"/>
  <c r="AE41" i="1" s="1"/>
  <c r="AD39" i="1"/>
  <c r="AX47" i="1"/>
  <c r="BE12" i="1"/>
  <c r="AX31" i="1"/>
  <c r="AX55" i="1"/>
  <c r="AX49" i="1"/>
  <c r="AZ49" i="1"/>
  <c r="AT49" i="1"/>
  <c r="AX33" i="1"/>
  <c r="AT33" i="1"/>
  <c r="AZ33" i="1"/>
  <c r="AX57" i="1"/>
  <c r="AX39" i="1" a="1"/>
  <c r="BE44" i="1" a="1"/>
  <c r="BE28" i="1" a="1"/>
  <c r="BE52" i="1" a="1"/>
  <c r="AE19" i="1" l="1"/>
  <c r="AF23" i="1"/>
  <c r="AX39" i="1"/>
  <c r="AT41" i="1"/>
  <c r="AX41" i="1"/>
  <c r="AZ41" i="1"/>
  <c r="BE28" i="1"/>
  <c r="BE52" i="1"/>
  <c r="BE44" i="1"/>
  <c r="BE36" i="1" a="1"/>
  <c r="AD19" i="1" l="1"/>
  <c r="AE23" i="1"/>
  <c r="BE36" i="1"/>
  <c r="AD23" i="1" l="1"/>
  <c r="AC19" i="1"/>
  <c r="AE25" i="1" s="1"/>
  <c r="AX23" i="1" a="1"/>
  <c r="AX23" i="1" l="1"/>
  <c r="AX25" i="1"/>
  <c r="AT25" i="1"/>
  <c r="AZ25" i="1"/>
  <c r="BE20" i="1" a="1"/>
  <c r="BE2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<sst xmlns="http://schemas.openxmlformats.org/spreadsheetml/2006/main" count="268" uniqueCount="60">
  <si>
    <t>A =</t>
  </si>
  <si>
    <t>C =</t>
  </si>
  <si>
    <t>X1 =</t>
  </si>
  <si>
    <t>B1 =</t>
  </si>
  <si>
    <t>X2 =</t>
  </si>
  <si>
    <t>B2 =</t>
  </si>
  <si>
    <t>X3 =</t>
  </si>
  <si>
    <t>A + C =</t>
  </si>
  <si>
    <t>B3 =</t>
  </si>
  <si>
    <t>X4 =</t>
  </si>
  <si>
    <t>A + C + C =</t>
  </si>
  <si>
    <t>B4 =</t>
  </si>
  <si>
    <t>X5 =</t>
  </si>
  <si>
    <t>C - A =</t>
  </si>
  <si>
    <t>B5 =</t>
  </si>
  <si>
    <t>X6 =</t>
  </si>
  <si>
    <t xml:space="preserve"> 65536 - X4 =</t>
  </si>
  <si>
    <t>B6 =</t>
  </si>
  <si>
    <t>X7 =</t>
  </si>
  <si>
    <t>-X1 =</t>
  </si>
  <si>
    <t>B7 =</t>
  </si>
  <si>
    <t>X8 =</t>
  </si>
  <si>
    <t xml:space="preserve">-X2 = </t>
  </si>
  <si>
    <t>X9 =</t>
  </si>
  <si>
    <t>-X3 =</t>
  </si>
  <si>
    <t>B9 =</t>
  </si>
  <si>
    <t>X10 =</t>
  </si>
  <si>
    <t>-X4 =</t>
  </si>
  <si>
    <t>B10 =</t>
  </si>
  <si>
    <t>X11 =</t>
  </si>
  <si>
    <t>-X5 =</t>
  </si>
  <si>
    <t>B11 =</t>
  </si>
  <si>
    <t>X12 =</t>
  </si>
  <si>
    <t>-X6 =</t>
  </si>
  <si>
    <t>B12 =</t>
  </si>
  <si>
    <t>-B1=</t>
  </si>
  <si>
    <t>-B2=</t>
  </si>
  <si>
    <t>-B3=</t>
  </si>
  <si>
    <t>-B4=</t>
  </si>
  <si>
    <t>-B5=</t>
  </si>
  <si>
    <t>-B6=</t>
  </si>
  <si>
    <t>--</t>
  </si>
  <si>
    <t>=</t>
  </si>
  <si>
    <t>X1</t>
  </si>
  <si>
    <t>X2</t>
  </si>
  <si>
    <t>+</t>
  </si>
  <si>
    <t>--------</t>
  </si>
  <si>
    <t>CF =</t>
  </si>
  <si>
    <t xml:space="preserve"> </t>
  </si>
  <si>
    <t>AF =</t>
  </si>
  <si>
    <t>PF =</t>
  </si>
  <si>
    <t xml:space="preserve">ZF = </t>
  </si>
  <si>
    <t>SF =</t>
  </si>
  <si>
    <t>OF =</t>
  </si>
  <si>
    <t>X3</t>
  </si>
  <si>
    <t>X7</t>
  </si>
  <si>
    <t>X8</t>
  </si>
  <si>
    <t>B8 =</t>
  </si>
  <si>
    <t>X9</t>
  </si>
  <si>
    <t>X11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</si>
</sst>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Arial Unicode MS"/>
    </font>
    <font>
      <sz val="10"/>
      <color theme="1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2" fillId="0" borderId="0" xfId="0" applyFont="1" applyAlignment="1">
      <alignment vertical="center"/>
    </xf>
    <xf numFmtId="0" fontId="0" fillId="0" borderId="0" xfId="0" quotePrefix="1"/>
    <xf numFmtId="0" fontId="3" fillId="0" borderId="0" xfId="0" applyFont="1" applyAlignment="1">
      <alignment vertical="center"/>
    </xf>
    <xf numFmtId="0" fontId="1" fillId="0" borderId="0" xfId="0" applyFont="1"/>
    <xf numFmtId="1" fontId="0" fillId="0" borderId="0" xfId="0" applyNumberFormat="1"/>
    <xf numFmtId="1" fontId="4" fillId="0" borderId="0" xfId="0" applyNumberFormat="1" applyFont="1"/>
    <xf numFmtId="0" fontId="0" fillId="0" borderId="0" xfId="0" quotePrefix="1" applyAlignment="1">
      <alignment horizontal="center"/>
    </xf>
    <xf numFmtId="1" fontId="0" fillId="0" borderId="0" xfId="0" quotePrefix="1" applyNumberFormat="1" applyAlignment="1">
      <alignment horizontal="right" vertical="top"/>
    </xf>
    <xf numFmtId="1" fontId="0" fillId="0" borderId="0" xfId="0" quotePrefix="1" applyNumberFormat="1" applyAlignment="1">
      <alignment horizontal="right" vertical="center"/>
    </xf>
    <xf numFmtId="1" fontId="0" fillId="0" borderId="0" xfId="0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" fontId="3" fillId="0" borderId="0" xfId="0" applyNumberFormat="1" applyFont="1" applyAlignment="1">
      <alignment vertical="center"/>
    </xf>
    <xf numFmtId="1" fontId="1" fillId="0" borderId="0" xfId="0" applyNumberFormat="1" applyFon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 vertical="top" wrapText="1"/>
    </xf>
  </cellXfs>
  <cellStyles count="1">
    <cellStyle name="Обычный" xfId="0" builtinId="0"/>
  </cellStyles>
  <dxfs count="2">
    <dxf>
      <font>
        <b val="0"/>
        <i/>
      </font>
    </dxf>
    <dxf>
      <font>
        <b val="0"/>
        <i val="0"/>
        <color theme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K57"/>
  <sheetViews>
    <sheetView tabSelected="1" view="pageLayout" zoomScaleNormal="100" workbookViewId="0">
      <selection activeCell="AF7" sqref="AF7"/>
    </sheetView>
  </sheetViews>
  <sheetFormatPr defaultRowHeight="14.25"/>
  <cols>
    <col min="4" max="4" width="3.19921875" customWidth="1"/>
    <col min="6" max="6" width="5" customWidth="1"/>
    <col min="7" max="25" width="1.59765625" customWidth="1"/>
    <col min="26" max="26" width="4.6640625" customWidth="1"/>
    <col min="27" max="27" width="8.265625" style="16" customWidth="1"/>
    <col min="28" max="28" width="3.59765625" customWidth="1"/>
    <col min="29" max="48" width="2.1328125" customWidth="1"/>
    <col min="49" max="49" width="4.59765625" customWidth="1"/>
    <col min="50" max="50" width="10.1328125" customWidth="1"/>
    <col min="51" max="51" width="4.59765625" customWidth="1"/>
    <col min="52" max="53" width="7.265625" customWidth="1"/>
    <col min="54" max="54" width="4.59765625" customWidth="1"/>
    <col min="55" max="55" width="7.265625" customWidth="1"/>
    <col min="56" max="56" width="4.46484375" customWidth="1"/>
    <col min="57" max="59" width="2.59765625" customWidth="1"/>
  </cols>
  <sheetData>
    <row r="1" spans="1:63">
      <c r="A1" s="1"/>
      <c r="B1" s="1" t="s">
        <v>0</v>
      </c>
      <c r="C1">
        <v>8361</v>
      </c>
    </row>
    <row r="2" spans="1:63">
      <c r="A2" s="1"/>
      <c r="B2" s="1" t="s">
        <v>1</v>
      </c>
      <c r="C2">
        <v>16090</v>
      </c>
    </row>
    <row r="3" spans="1:63">
      <c r="A3" s="1"/>
      <c r="B3" s="1"/>
      <c r="AA3" s="16">
        <v>1</v>
      </c>
      <c r="AC3" s="8">
        <f t="shared" ref="AC3:AE3" si="0">FLOOR((AD4+AD5+AD3)/2,1)</f>
        <v>0</v>
      </c>
      <c r="AD3" s="8">
        <f t="shared" si="0"/>
        <v>0</v>
      </c>
      <c r="AE3" s="8">
        <f t="shared" si="0"/>
        <v>1</v>
      </c>
      <c r="AF3" s="8">
        <f>FLOOR((AG4+AG5+AG3)/2,1)</f>
        <v>0</v>
      </c>
      <c r="AG3" s="8">
        <f>FLOOR((AI4+AI5+AI3)/2,1)</f>
        <v>0</v>
      </c>
      <c r="AH3" s="8"/>
      <c r="AI3" s="8">
        <f t="shared" ref="AI3:AJ3" si="1">FLOOR((AJ4+AJ5+AJ3)/2,1)</f>
        <v>0</v>
      </c>
      <c r="AJ3" s="8">
        <f t="shared" si="1"/>
        <v>0</v>
      </c>
      <c r="AK3" s="8">
        <f>FLOOR((AL4+AL5+AL3)/2,1)</f>
        <v>0</v>
      </c>
      <c r="AL3" s="8">
        <f>FLOOR((AN4+AN5+AN3)/2,1)</f>
        <v>1</v>
      </c>
      <c r="AM3" s="8"/>
      <c r="AN3" s="8">
        <f t="shared" ref="AN3" si="2">FLOOR((AO4+AO5+AO3)/2,1)</f>
        <v>1</v>
      </c>
      <c r="AO3" s="8">
        <f>FLOOR((AP4+AP5+AP3)/2,1)</f>
        <v>1</v>
      </c>
      <c r="AP3" s="8">
        <f>FLOOR((AQ4+AQ5+AQ3)/2,1)</f>
        <v>1</v>
      </c>
      <c r="AQ3" s="8">
        <f>FLOOR((AS4+AS5+AS3)/2,1)</f>
        <v>1</v>
      </c>
      <c r="AR3" s="8"/>
      <c r="AS3" s="8">
        <f t="shared" ref="AS3:AU3" si="3">FLOOR((AT4+AT5+AT3)/2,1)</f>
        <v>0</v>
      </c>
      <c r="AT3" s="8">
        <f t="shared" si="3"/>
        <v>0</v>
      </c>
      <c r="AU3" s="8">
        <f t="shared" si="3"/>
        <v>0</v>
      </c>
      <c r="AV3" s="8">
        <f>FLOOR((AW4+AW5+AW3)/2,1)</f>
        <v>0</v>
      </c>
      <c r="AW3" s="7"/>
      <c r="AX3" s="7"/>
      <c r="AY3" s="7"/>
      <c r="AZ3" s="7"/>
      <c r="BA3" s="7"/>
      <c r="BC3" s="7"/>
      <c r="BD3" s="7"/>
      <c r="BE3" s="7"/>
      <c r="BF3" s="7"/>
      <c r="BG3" s="7"/>
      <c r="BH3" s="7"/>
    </row>
    <row r="4" spans="1:63">
      <c r="A4" s="1" t="s">
        <v>2</v>
      </c>
      <c r="B4" s="1" t="s">
        <v>0</v>
      </c>
      <c r="C4">
        <f>C1</f>
        <v>8361</v>
      </c>
      <c r="E4" s="1" t="s">
        <v>3</v>
      </c>
      <c r="G4" s="18" t="str">
        <f t="array" ref="G4:Y4">DecimalToBinary(C4,16)</f>
        <v>0</v>
      </c>
      <c r="H4" s="19" t="str">
        <v>0</v>
      </c>
      <c r="I4" s="19" t="str">
        <v>1</v>
      </c>
      <c r="J4" s="19" t="str">
        <v>0</v>
      </c>
      <c r="K4" s="19" t="str">
        <v>.</v>
      </c>
      <c r="L4" s="19" t="str">
        <v>0</v>
      </c>
      <c r="M4" s="19" t="str">
        <v>0</v>
      </c>
      <c r="N4" s="19" t="str">
        <v>0</v>
      </c>
      <c r="O4" s="19" t="str">
        <v>0</v>
      </c>
      <c r="P4" s="19" t="str">
        <v>.</v>
      </c>
      <c r="Q4" s="19" t="str">
        <v>1</v>
      </c>
      <c r="R4" s="19" t="str">
        <v>0</v>
      </c>
      <c r="S4" s="19" t="str">
        <v>1</v>
      </c>
      <c r="T4" s="19" t="str">
        <v>0</v>
      </c>
      <c r="U4" s="19" t="str">
        <v>.</v>
      </c>
      <c r="V4" s="19" t="str">
        <v>1</v>
      </c>
      <c r="W4" s="19" t="str">
        <v>0</v>
      </c>
      <c r="X4" s="19" t="str">
        <v>0</v>
      </c>
      <c r="Y4" s="19" t="str">
        <v>1</v>
      </c>
      <c r="Z4" s="6"/>
      <c r="AA4" s="17"/>
      <c r="AB4" s="6" t="str">
        <f>E4</f>
        <v>B1 =</v>
      </c>
      <c r="AC4" s="7"/>
      <c r="AD4" s="7" t="str">
        <f>G4</f>
        <v>0</v>
      </c>
      <c r="AE4" s="7" t="str">
        <f t="shared" ref="AE4:AV5" si="4">H4</f>
        <v>0</v>
      </c>
      <c r="AF4" s="7" t="str">
        <f t="shared" si="4"/>
        <v>1</v>
      </c>
      <c r="AG4" s="7" t="str">
        <f t="shared" si="4"/>
        <v>0</v>
      </c>
      <c r="AH4" s="7" t="str">
        <f t="shared" si="4"/>
        <v>.</v>
      </c>
      <c r="AI4" s="7" t="str">
        <f t="shared" si="4"/>
        <v>0</v>
      </c>
      <c r="AJ4" s="7" t="str">
        <f t="shared" si="4"/>
        <v>0</v>
      </c>
      <c r="AK4" s="7" t="str">
        <f t="shared" si="4"/>
        <v>0</v>
      </c>
      <c r="AL4" s="7" t="str">
        <f t="shared" si="4"/>
        <v>0</v>
      </c>
      <c r="AM4" s="7" t="str">
        <f t="shared" si="4"/>
        <v>.</v>
      </c>
      <c r="AN4" s="7" t="str">
        <f t="shared" si="4"/>
        <v>1</v>
      </c>
      <c r="AO4" s="7" t="str">
        <f t="shared" si="4"/>
        <v>0</v>
      </c>
      <c r="AP4" s="7" t="str">
        <f t="shared" si="4"/>
        <v>1</v>
      </c>
      <c r="AQ4" s="7" t="str">
        <f t="shared" si="4"/>
        <v>0</v>
      </c>
      <c r="AR4" s="7" t="str">
        <f t="shared" si="4"/>
        <v>.</v>
      </c>
      <c r="AS4" s="7" t="str">
        <f t="shared" si="4"/>
        <v>1</v>
      </c>
      <c r="AT4" s="7" t="str">
        <f t="shared" si="4"/>
        <v>0</v>
      </c>
      <c r="AU4" s="7" t="str">
        <f t="shared" si="4"/>
        <v>0</v>
      </c>
      <c r="AV4" s="7" t="str">
        <f t="shared" si="4"/>
        <v>1</v>
      </c>
      <c r="AW4" s="7"/>
      <c r="AX4" s="7"/>
      <c r="AY4" s="7"/>
      <c r="AZ4" s="12" t="s">
        <v>43</v>
      </c>
      <c r="BA4" s="12"/>
      <c r="BB4" s="7"/>
      <c r="BC4" s="12">
        <f>C4</f>
        <v>8361</v>
      </c>
      <c r="BD4" s="12"/>
      <c r="BE4" s="22" t="str" cm="1">
        <f t="array" ref="BE4">GenerateTextResult(AD4,AD5,AD7,AZ9)</f>
        <v>При сложении положительного и положительного слагаемых получено положительное число. Результат выполнения операции верный и корректный, совпадает с суммой десятичных эквивалентов.</v>
      </c>
      <c r="BF4" s="22"/>
      <c r="BG4" s="22"/>
      <c r="BH4" s="22"/>
      <c r="BI4" s="22"/>
      <c r="BJ4" s="22"/>
      <c r="BK4" s="22"/>
    </row>
    <row r="5" spans="1:63">
      <c r="A5" s="1" t="s">
        <v>4</v>
      </c>
      <c r="B5" s="1" t="s">
        <v>1</v>
      </c>
      <c r="C5">
        <f>C2</f>
        <v>16090</v>
      </c>
      <c r="E5" s="1" t="s">
        <v>5</v>
      </c>
      <c r="G5" s="18" t="str">
        <f t="array" ref="G5:Y5">DecimalToBinary(C5,16)</f>
        <v>0</v>
      </c>
      <c r="H5" s="19" t="str">
        <v>0</v>
      </c>
      <c r="I5" s="19" t="str">
        <v>1</v>
      </c>
      <c r="J5" s="19" t="str">
        <v>1</v>
      </c>
      <c r="K5" s="19" t="str">
        <v>.</v>
      </c>
      <c r="L5" s="19" t="str">
        <v>1</v>
      </c>
      <c r="M5" s="19" t="str">
        <v>1</v>
      </c>
      <c r="N5" s="19" t="str">
        <v>1</v>
      </c>
      <c r="O5" s="19" t="str">
        <v>0</v>
      </c>
      <c r="P5" s="19" t="str">
        <v>.</v>
      </c>
      <c r="Q5" s="19" t="str">
        <v>1</v>
      </c>
      <c r="R5" s="19" t="str">
        <v>1</v>
      </c>
      <c r="S5" s="19" t="str">
        <v>0</v>
      </c>
      <c r="T5" s="19" t="str">
        <v>1</v>
      </c>
      <c r="U5" s="19" t="str">
        <v>.</v>
      </c>
      <c r="V5" s="19" t="str">
        <v>1</v>
      </c>
      <c r="W5" s="19" t="str">
        <v>0</v>
      </c>
      <c r="X5" s="19" t="str">
        <v>1</v>
      </c>
      <c r="Y5" s="19" t="str">
        <v>0</v>
      </c>
      <c r="Z5" s="6"/>
      <c r="AA5" s="17"/>
      <c r="AB5" s="6" t="str">
        <f>E5</f>
        <v>B2 =</v>
      </c>
      <c r="AC5" s="7"/>
      <c r="AD5" s="7" t="str">
        <f>G5</f>
        <v>0</v>
      </c>
      <c r="AE5" s="7" t="str">
        <f t="shared" si="4"/>
        <v>0</v>
      </c>
      <c r="AF5" s="7" t="str">
        <f t="shared" si="4"/>
        <v>1</v>
      </c>
      <c r="AG5" s="7" t="str">
        <f t="shared" si="4"/>
        <v>1</v>
      </c>
      <c r="AH5" s="7" t="str">
        <f t="shared" si="4"/>
        <v>.</v>
      </c>
      <c r="AI5" s="7" t="str">
        <f t="shared" si="4"/>
        <v>1</v>
      </c>
      <c r="AJ5" s="7" t="str">
        <f t="shared" si="4"/>
        <v>1</v>
      </c>
      <c r="AK5" s="7" t="str">
        <f t="shared" si="4"/>
        <v>1</v>
      </c>
      <c r="AL5" s="7" t="str">
        <f t="shared" si="4"/>
        <v>0</v>
      </c>
      <c r="AM5" s="7" t="str">
        <f t="shared" si="4"/>
        <v>.</v>
      </c>
      <c r="AN5" s="7" t="str">
        <f t="shared" si="4"/>
        <v>1</v>
      </c>
      <c r="AO5" s="7" t="str">
        <f t="shared" si="4"/>
        <v>1</v>
      </c>
      <c r="AP5" s="7" t="str">
        <f t="shared" si="4"/>
        <v>0</v>
      </c>
      <c r="AQ5" s="7" t="str">
        <f t="shared" si="4"/>
        <v>1</v>
      </c>
      <c r="AR5" s="7" t="str">
        <f t="shared" si="4"/>
        <v>.</v>
      </c>
      <c r="AS5" s="7" t="str">
        <f t="shared" si="4"/>
        <v>1</v>
      </c>
      <c r="AT5" s="7" t="str">
        <f t="shared" si="4"/>
        <v>0</v>
      </c>
      <c r="AU5" s="7" t="str">
        <f t="shared" si="4"/>
        <v>1</v>
      </c>
      <c r="AV5" s="7" t="str">
        <f t="shared" si="4"/>
        <v>0</v>
      </c>
      <c r="AW5" s="7"/>
      <c r="AX5" s="7"/>
      <c r="AY5" s="11" t="s">
        <v>45</v>
      </c>
      <c r="AZ5" s="12" t="s">
        <v>44</v>
      </c>
      <c r="BA5" s="12"/>
      <c r="BB5" s="7"/>
      <c r="BC5" s="12">
        <f>C5</f>
        <v>16090</v>
      </c>
      <c r="BD5" s="12"/>
      <c r="BE5" s="22"/>
      <c r="BF5" s="22"/>
      <c r="BG5" s="22"/>
      <c r="BH5" s="22"/>
      <c r="BI5" s="22"/>
      <c r="BJ5" s="22"/>
      <c r="BK5" s="22"/>
    </row>
    <row r="6" spans="1:63">
      <c r="A6" s="1" t="s">
        <v>6</v>
      </c>
      <c r="B6" s="1" t="s">
        <v>7</v>
      </c>
      <c r="C6">
        <f>C1+C2</f>
        <v>24451</v>
      </c>
      <c r="E6" s="1" t="s">
        <v>8</v>
      </c>
      <c r="G6" s="18" t="str">
        <f t="array" ref="G6:Y6">DecimalToBinary(C6,16)</f>
        <v>0</v>
      </c>
      <c r="H6" s="19" t="str">
        <v>1</v>
      </c>
      <c r="I6" s="19" t="str">
        <v>0</v>
      </c>
      <c r="J6" s="19" t="str">
        <v>1</v>
      </c>
      <c r="K6" s="19" t="str">
        <v>.</v>
      </c>
      <c r="L6" s="19" t="str">
        <v>1</v>
      </c>
      <c r="M6" s="19" t="str">
        <v>1</v>
      </c>
      <c r="N6" s="19" t="str">
        <v>1</v>
      </c>
      <c r="O6" s="19" t="str">
        <v>1</v>
      </c>
      <c r="P6" s="19" t="str">
        <v>.</v>
      </c>
      <c r="Q6" s="19" t="str">
        <v>1</v>
      </c>
      <c r="R6" s="19" t="str">
        <v>0</v>
      </c>
      <c r="S6" s="19" t="str">
        <v>0</v>
      </c>
      <c r="T6" s="19" t="str">
        <v>0</v>
      </c>
      <c r="U6" s="19" t="str">
        <v>.</v>
      </c>
      <c r="V6" s="19" t="str">
        <v>0</v>
      </c>
      <c r="W6" s="19" t="str">
        <v>0</v>
      </c>
      <c r="X6" s="19" t="str">
        <v>1</v>
      </c>
      <c r="Y6" s="19" t="str">
        <v>1</v>
      </c>
      <c r="Z6" s="6"/>
      <c r="AA6" s="17"/>
      <c r="AB6" s="6"/>
      <c r="AD6" s="4" t="s">
        <v>41</v>
      </c>
      <c r="AE6" s="4" t="s">
        <v>41</v>
      </c>
      <c r="AF6" s="4" t="s">
        <v>41</v>
      </c>
      <c r="AG6" s="4" t="s">
        <v>41</v>
      </c>
      <c r="AH6" s="4" t="s">
        <v>41</v>
      </c>
      <c r="AI6" s="4" t="s">
        <v>41</v>
      </c>
      <c r="AJ6" s="4" t="s">
        <v>41</v>
      </c>
      <c r="AK6" s="4" t="s">
        <v>41</v>
      </c>
      <c r="AL6" s="4" t="s">
        <v>41</v>
      </c>
      <c r="AM6" s="4" t="s">
        <v>41</v>
      </c>
      <c r="AN6" s="4" t="s">
        <v>41</v>
      </c>
      <c r="AO6" s="4" t="s">
        <v>41</v>
      </c>
      <c r="AP6" s="4" t="s">
        <v>41</v>
      </c>
      <c r="AQ6" s="4" t="s">
        <v>41</v>
      </c>
      <c r="AR6" s="4" t="s">
        <v>41</v>
      </c>
      <c r="AS6" s="4" t="s">
        <v>41</v>
      </c>
      <c r="AT6" s="4" t="s">
        <v>41</v>
      </c>
      <c r="AU6" s="4" t="s">
        <v>41</v>
      </c>
      <c r="AV6" s="4" t="s">
        <v>41</v>
      </c>
      <c r="AX6" s="15"/>
      <c r="AZ6" s="13" t="s">
        <v>46</v>
      </c>
      <c r="BA6" s="13"/>
      <c r="BB6" s="10" t="s">
        <v>45</v>
      </c>
      <c r="BC6" s="12" t="str">
        <f>AZ6</f>
        <v>--------</v>
      </c>
      <c r="BD6" s="12"/>
      <c r="BE6" s="22"/>
      <c r="BF6" s="22"/>
      <c r="BG6" s="22"/>
      <c r="BH6" s="22"/>
      <c r="BI6" s="22"/>
      <c r="BJ6" s="22"/>
      <c r="BK6" s="22"/>
    </row>
    <row r="7" spans="1:63">
      <c r="A7" s="1" t="s">
        <v>9</v>
      </c>
      <c r="B7" s="1" t="s">
        <v>10</v>
      </c>
      <c r="C7">
        <f>C1+C2+C2</f>
        <v>40541</v>
      </c>
      <c r="E7" s="1" t="s">
        <v>11</v>
      </c>
      <c r="G7" s="18" t="str">
        <f t="array" ref="G7:Y7">DecimalToBinary(C7,16)</f>
        <v>1</v>
      </c>
      <c r="H7" s="19" t="str">
        <v>0</v>
      </c>
      <c r="I7" s="19" t="str">
        <v>0</v>
      </c>
      <c r="J7" s="19" t="str">
        <v>1</v>
      </c>
      <c r="K7" s="19" t="str">
        <v>.</v>
      </c>
      <c r="L7" s="19" t="str">
        <v>1</v>
      </c>
      <c r="M7" s="19" t="str">
        <v>1</v>
      </c>
      <c r="N7" s="19" t="str">
        <v>1</v>
      </c>
      <c r="O7" s="19" t="str">
        <v>0</v>
      </c>
      <c r="P7" s="19" t="str">
        <v>.</v>
      </c>
      <c r="Q7" s="19" t="str">
        <v>0</v>
      </c>
      <c r="R7" s="19" t="str">
        <v>1</v>
      </c>
      <c r="S7" s="19" t="str">
        <v>0</v>
      </c>
      <c r="T7" s="19" t="str">
        <v>1</v>
      </c>
      <c r="U7" s="19" t="str">
        <v>.</v>
      </c>
      <c r="V7" s="19" t="str">
        <v>1</v>
      </c>
      <c r="W7" s="19" t="str">
        <v>1</v>
      </c>
      <c r="X7" s="19" t="str">
        <v>0</v>
      </c>
      <c r="Y7" s="19" t="str">
        <v>1</v>
      </c>
      <c r="Z7" s="6"/>
      <c r="AA7" s="17"/>
      <c r="AB7" s="6"/>
      <c r="AD7" s="7">
        <f t="shared" ref="AD7:AU7" si="5">MOD(AD5+AD4+AD3,2)</f>
        <v>0</v>
      </c>
      <c r="AE7" s="7">
        <f t="shared" si="5"/>
        <v>1</v>
      </c>
      <c r="AF7" s="7">
        <f t="shared" si="5"/>
        <v>0</v>
      </c>
      <c r="AG7" s="7">
        <f>MOD(AG5+AG4+AG3,2)</f>
        <v>1</v>
      </c>
      <c r="AH7" s="7" t="str">
        <f>AH5</f>
        <v>.</v>
      </c>
      <c r="AI7" s="7">
        <f t="shared" si="5"/>
        <v>1</v>
      </c>
      <c r="AJ7" s="7">
        <f t="shared" si="5"/>
        <v>1</v>
      </c>
      <c r="AK7" s="7">
        <f t="shared" si="5"/>
        <v>1</v>
      </c>
      <c r="AL7" s="7">
        <f t="shared" si="5"/>
        <v>1</v>
      </c>
      <c r="AM7" s="7" t="str">
        <f>AM5</f>
        <v>.</v>
      </c>
      <c r="AN7" s="7">
        <f t="shared" si="5"/>
        <v>1</v>
      </c>
      <c r="AO7" s="7">
        <f t="shared" si="5"/>
        <v>0</v>
      </c>
      <c r="AP7" s="7">
        <f t="shared" si="5"/>
        <v>0</v>
      </c>
      <c r="AQ7" s="7">
        <f t="shared" si="5"/>
        <v>0</v>
      </c>
      <c r="AR7" s="7" t="str">
        <f>AR5</f>
        <v>.</v>
      </c>
      <c r="AS7" s="7">
        <f t="shared" si="5"/>
        <v>0</v>
      </c>
      <c r="AT7" s="7">
        <f t="shared" si="5"/>
        <v>0</v>
      </c>
      <c r="AU7" s="7">
        <f t="shared" si="5"/>
        <v>1</v>
      </c>
      <c r="AV7" s="7">
        <f>MOD(AV5+AV4+AV3,2)</f>
        <v>1</v>
      </c>
      <c r="AW7" s="9" t="s">
        <v>42</v>
      </c>
      <c r="AX7" s="15" cm="1">
        <f t="array" ref="AX7">BinaryToDecimal(AD7:AV7)</f>
        <v>24451</v>
      </c>
      <c r="AZ7" s="14">
        <f>C4+C5</f>
        <v>24451</v>
      </c>
      <c r="BA7" s="14"/>
      <c r="BC7" s="12">
        <f>BC5+BC4</f>
        <v>24451</v>
      </c>
      <c r="BD7" s="12"/>
      <c r="BE7" s="22"/>
      <c r="BF7" s="22"/>
      <c r="BG7" s="22"/>
      <c r="BH7" s="22"/>
      <c r="BI7" s="22"/>
      <c r="BJ7" s="22"/>
      <c r="BK7" s="22"/>
    </row>
    <row r="8" spans="1:63">
      <c r="A8" s="1" t="s">
        <v>12</v>
      </c>
      <c r="B8" s="1" t="s">
        <v>13</v>
      </c>
      <c r="C8">
        <f>C2-C1</f>
        <v>7729</v>
      </c>
      <c r="E8" s="1" t="s">
        <v>14</v>
      </c>
      <c r="G8" s="5" t="str">
        <f t="array" ref="G8:Y8">DecimalToBinary(C8,16)</f>
        <v>0</v>
      </c>
      <c r="H8" s="6" t="str">
        <v>0</v>
      </c>
      <c r="I8" s="6" t="str">
        <v>0</v>
      </c>
      <c r="J8" s="6" t="str">
        <v>1</v>
      </c>
      <c r="K8" s="6" t="str">
        <v>.</v>
      </c>
      <c r="L8" s="6" t="str">
        <v>1</v>
      </c>
      <c r="M8" s="6" t="str">
        <v>1</v>
      </c>
      <c r="N8" s="6" t="str">
        <v>1</v>
      </c>
      <c r="O8" s="6" t="str">
        <v>0</v>
      </c>
      <c r="P8" s="6" t="str">
        <v>.</v>
      </c>
      <c r="Q8" s="6" t="str">
        <v>0</v>
      </c>
      <c r="R8" s="6" t="str">
        <v>0</v>
      </c>
      <c r="S8" s="6" t="str">
        <v>1</v>
      </c>
      <c r="T8" s="6" t="str">
        <v>1</v>
      </c>
      <c r="U8" s="6" t="str">
        <v>.</v>
      </c>
      <c r="V8" s="6" t="str">
        <v>0</v>
      </c>
      <c r="W8" s="6" t="str">
        <v>0</v>
      </c>
      <c r="X8" s="6" t="str">
        <v>0</v>
      </c>
      <c r="Y8" s="6" t="str">
        <v>1</v>
      </c>
      <c r="Z8" s="6"/>
      <c r="AA8" s="17"/>
      <c r="AB8" s="6"/>
      <c r="AX8" s="16"/>
      <c r="BE8" s="22"/>
      <c r="BF8" s="22"/>
      <c r="BG8" s="22"/>
      <c r="BH8" s="22"/>
      <c r="BI8" s="22"/>
      <c r="BJ8" s="22"/>
      <c r="BK8" s="22"/>
    </row>
    <row r="9" spans="1:63">
      <c r="A9" s="1" t="s">
        <v>15</v>
      </c>
      <c r="B9" s="1" t="s">
        <v>16</v>
      </c>
      <c r="C9">
        <f>65536-C7</f>
        <v>24995</v>
      </c>
      <c r="E9" s="1" t="s">
        <v>17</v>
      </c>
      <c r="G9" s="5" t="str">
        <f t="array" ref="G9:Y9">DecimalToBinary(C9,16)</f>
        <v>0</v>
      </c>
      <c r="H9" s="6" t="str">
        <v>1</v>
      </c>
      <c r="I9" s="6" t="str">
        <v>1</v>
      </c>
      <c r="J9" s="6" t="str">
        <v>0</v>
      </c>
      <c r="K9" s="6" t="str">
        <v>.</v>
      </c>
      <c r="L9" s="6" t="str">
        <v>0</v>
      </c>
      <c r="M9" s="6" t="str">
        <v>0</v>
      </c>
      <c r="N9" s="6" t="str">
        <v>0</v>
      </c>
      <c r="O9" s="6" t="str">
        <v>1</v>
      </c>
      <c r="P9" s="6" t="str">
        <v>.</v>
      </c>
      <c r="Q9" s="6" t="str">
        <v>1</v>
      </c>
      <c r="R9" s="6" t="str">
        <v>0</v>
      </c>
      <c r="S9" s="6" t="str">
        <v>1</v>
      </c>
      <c r="T9" s="6" t="str">
        <v>0</v>
      </c>
      <c r="U9" s="6" t="str">
        <v>.</v>
      </c>
      <c r="V9" s="6" t="str">
        <v>0</v>
      </c>
      <c r="W9" s="6" t="str">
        <v>0</v>
      </c>
      <c r="X9" s="6" t="str">
        <v>1</v>
      </c>
      <c r="Y9" s="6" t="str">
        <v>1</v>
      </c>
      <c r="Z9" s="6"/>
      <c r="AA9" s="17"/>
      <c r="AB9" s="6"/>
      <c r="AC9" s="21" t="s">
        <v>47</v>
      </c>
      <c r="AD9" s="21"/>
      <c r="AE9" s="20">
        <f>AC3</f>
        <v>0</v>
      </c>
      <c r="AF9" s="21"/>
      <c r="AG9" t="s">
        <v>48</v>
      </c>
      <c r="AH9" s="21" t="s">
        <v>50</v>
      </c>
      <c r="AI9" s="21"/>
      <c r="AJ9" s="20">
        <f>IF(MOD(SUM(AS7:AV7,AN7:AQ7),2)=1,0,1)</f>
        <v>0</v>
      </c>
      <c r="AK9" s="21"/>
      <c r="AM9" s="21" t="s">
        <v>49</v>
      </c>
      <c r="AN9" s="21"/>
      <c r="AO9" s="20">
        <f>AQ3</f>
        <v>1</v>
      </c>
      <c r="AP9" s="21"/>
      <c r="AR9" s="21" t="s">
        <v>51</v>
      </c>
      <c r="AS9" s="21"/>
      <c r="AT9" s="20">
        <f>IF(SUM(AS7:AV7,AN7:AQ7,AI7:AL7,AD7:AG7)&lt;&gt;0,0,1)</f>
        <v>0</v>
      </c>
      <c r="AU9" s="21"/>
      <c r="AW9" t="s">
        <v>52</v>
      </c>
      <c r="AX9" s="15">
        <f>AD7</f>
        <v>0</v>
      </c>
      <c r="AY9" t="s">
        <v>53</v>
      </c>
      <c r="AZ9" s="16">
        <f>IF(AND(INT(AD5)=INT(AD4),INT(AD4)&lt;&gt;INT(AD7)),1,0)</f>
        <v>0</v>
      </c>
      <c r="BA9" s="16"/>
    </row>
    <row r="10" spans="1:63">
      <c r="A10" s="1" t="s">
        <v>18</v>
      </c>
      <c r="B10" s="2" t="s">
        <v>19</v>
      </c>
      <c r="C10">
        <f t="shared" ref="C10:C15" si="6">-C4</f>
        <v>-8361</v>
      </c>
      <c r="E10" s="1" t="s">
        <v>20</v>
      </c>
      <c r="F10" s="4" t="s">
        <v>35</v>
      </c>
      <c r="G10" s="5" t="str">
        <f t="array" ref="G10:Y10">DecimalToBinary(C10,16)</f>
        <v>1</v>
      </c>
      <c r="H10" s="6" t="str">
        <v>1</v>
      </c>
      <c r="I10" s="6" t="str">
        <v>0</v>
      </c>
      <c r="J10" s="6" t="str">
        <v>1</v>
      </c>
      <c r="K10" s="6" t="str">
        <v>.</v>
      </c>
      <c r="L10" s="6" t="str">
        <v>1</v>
      </c>
      <c r="M10" s="6" t="str">
        <v>1</v>
      </c>
      <c r="N10" s="6" t="str">
        <v>1</v>
      </c>
      <c r="O10" s="6" t="str">
        <v>1</v>
      </c>
      <c r="P10" s="6" t="str">
        <v>.</v>
      </c>
      <c r="Q10" s="6" t="str">
        <v>0</v>
      </c>
      <c r="R10" s="6" t="str">
        <v>1</v>
      </c>
      <c r="S10" s="6" t="str">
        <v>0</v>
      </c>
      <c r="T10" s="6" t="str">
        <v>1</v>
      </c>
      <c r="U10" s="6" t="str">
        <v>.</v>
      </c>
      <c r="V10" s="6" t="str">
        <v>0</v>
      </c>
      <c r="W10" s="6" t="str">
        <v>1</v>
      </c>
      <c r="X10" s="6" t="str">
        <v>1</v>
      </c>
      <c r="Y10" s="6" t="str">
        <v>1</v>
      </c>
      <c r="Z10" s="6"/>
      <c r="AA10" s="17"/>
      <c r="AB10" s="6"/>
      <c r="AX10" s="16"/>
    </row>
    <row r="11" spans="1:63">
      <c r="A11" s="1" t="s">
        <v>21</v>
      </c>
      <c r="B11" s="2" t="s">
        <v>22</v>
      </c>
      <c r="C11">
        <f t="shared" si="6"/>
        <v>-16090</v>
      </c>
      <c r="E11" s="1" t="s">
        <v>57</v>
      </c>
      <c r="F11" s="4" t="s">
        <v>36</v>
      </c>
      <c r="G11" s="5" t="str">
        <f t="array" ref="G11:Y11">DecimalToBinary(C11,16)</f>
        <v>1</v>
      </c>
      <c r="H11" s="6" t="str">
        <v>1</v>
      </c>
      <c r="I11" s="6" t="str">
        <v>0</v>
      </c>
      <c r="J11" s="6" t="str">
        <v>0</v>
      </c>
      <c r="K11" s="6" t="str">
        <v>.</v>
      </c>
      <c r="L11" s="6" t="str">
        <v>0</v>
      </c>
      <c r="M11" s="6" t="str">
        <v>0</v>
      </c>
      <c r="N11" s="6" t="str">
        <v>0</v>
      </c>
      <c r="O11" s="6" t="str">
        <v>1</v>
      </c>
      <c r="P11" s="6" t="str">
        <v>.</v>
      </c>
      <c r="Q11" s="6" t="str">
        <v>0</v>
      </c>
      <c r="R11" s="6" t="str">
        <v>0</v>
      </c>
      <c r="S11" s="6" t="str">
        <v>1</v>
      </c>
      <c r="T11" s="6" t="str">
        <v>0</v>
      </c>
      <c r="U11" s="6" t="str">
        <v>.</v>
      </c>
      <c r="V11" s="6" t="str">
        <v>0</v>
      </c>
      <c r="W11" s="6" t="str">
        <v>1</v>
      </c>
      <c r="X11" s="6" t="str">
        <v>1</v>
      </c>
      <c r="Y11" s="6" t="str">
        <v>0</v>
      </c>
      <c r="Z11" s="6"/>
      <c r="AA11" s="16">
        <v>2</v>
      </c>
      <c r="AC11" s="8">
        <f t="shared" ref="AC11:AE11" si="7">FLOOR((AD12+AD13+AD11)/2,1)</f>
        <v>0</v>
      </c>
      <c r="AD11" s="8">
        <f t="shared" si="7"/>
        <v>1</v>
      </c>
      <c r="AE11" s="8">
        <f t="shared" si="7"/>
        <v>1</v>
      </c>
      <c r="AF11" s="8">
        <f>FLOOR((AG12+AG13+AG11)/2,1)</f>
        <v>1</v>
      </c>
      <c r="AG11" s="8">
        <f>FLOOR((AI12+AI13+AI11)/2,1)</f>
        <v>1</v>
      </c>
      <c r="AH11" s="8"/>
      <c r="AI11" s="8">
        <f t="shared" ref="AI11:AJ11" si="8">FLOOR((AJ12+AJ13+AJ11)/2,1)</f>
        <v>1</v>
      </c>
      <c r="AJ11" s="8">
        <f t="shared" si="8"/>
        <v>1</v>
      </c>
      <c r="AK11" s="8">
        <f>FLOOR((AL12+AL13+AL11)/2,1)</f>
        <v>1</v>
      </c>
      <c r="AL11" s="8">
        <f>FLOOR((AN12+AN13+AN11)/2,1)</f>
        <v>1</v>
      </c>
      <c r="AM11" s="8"/>
      <c r="AN11" s="8">
        <f t="shared" ref="AN11" si="9">FLOOR((AO12+AO13+AO11)/2,1)</f>
        <v>0</v>
      </c>
      <c r="AO11" s="8">
        <f>FLOOR((AP12+AP13+AP11)/2,1)</f>
        <v>0</v>
      </c>
      <c r="AP11" s="8">
        <f>FLOOR((AQ12+AQ13+AQ11)/2,1)</f>
        <v>0</v>
      </c>
      <c r="AQ11" s="8">
        <f>FLOOR((AS12+AS13+AS11)/2,1)</f>
        <v>0</v>
      </c>
      <c r="AR11" s="8"/>
      <c r="AS11" s="8">
        <f t="shared" ref="AS11:AU11" si="10">FLOOR((AT12+AT13+AT11)/2,1)</f>
        <v>0</v>
      </c>
      <c r="AT11" s="8">
        <f t="shared" si="10"/>
        <v>1</v>
      </c>
      <c r="AU11" s="8">
        <f t="shared" si="10"/>
        <v>0</v>
      </c>
      <c r="AV11" s="8">
        <f>FLOOR((AW12+AW13+AW11)/2,1)</f>
        <v>0</v>
      </c>
      <c r="AW11" s="7"/>
      <c r="AX11" s="15"/>
      <c r="AY11" s="7"/>
      <c r="AZ11" s="7"/>
      <c r="BA11" s="7"/>
      <c r="BC11" s="7"/>
      <c r="BD11" s="7"/>
      <c r="BE11" s="7"/>
      <c r="BF11" s="7"/>
      <c r="BG11" s="7"/>
      <c r="BH11" s="7"/>
    </row>
    <row r="12" spans="1:63">
      <c r="A12" s="1" t="s">
        <v>23</v>
      </c>
      <c r="B12" s="2" t="s">
        <v>24</v>
      </c>
      <c r="C12">
        <f t="shared" si="6"/>
        <v>-24451</v>
      </c>
      <c r="E12" s="1" t="s">
        <v>25</v>
      </c>
      <c r="F12" s="4" t="s">
        <v>37</v>
      </c>
      <c r="G12" s="5" t="str">
        <f t="array" ref="G12:Y12">DecimalToBinary(C12,16)</f>
        <v>1</v>
      </c>
      <c r="H12" s="6" t="str">
        <v>0</v>
      </c>
      <c r="I12" s="6" t="str">
        <v>1</v>
      </c>
      <c r="J12" s="6" t="str">
        <v>0</v>
      </c>
      <c r="K12" s="6" t="str">
        <v>.</v>
      </c>
      <c r="L12" s="6" t="str">
        <v>0</v>
      </c>
      <c r="M12" s="6" t="str">
        <v>0</v>
      </c>
      <c r="N12" s="6" t="str">
        <v>0</v>
      </c>
      <c r="O12" s="6" t="str">
        <v>0</v>
      </c>
      <c r="P12" s="6" t="str">
        <v>.</v>
      </c>
      <c r="Q12" s="6" t="str">
        <v>0</v>
      </c>
      <c r="R12" s="6" t="str">
        <v>1</v>
      </c>
      <c r="S12" s="6" t="str">
        <v>1</v>
      </c>
      <c r="T12" s="6" t="str">
        <v>1</v>
      </c>
      <c r="U12" s="6" t="str">
        <v>.</v>
      </c>
      <c r="V12" s="6" t="str">
        <v>1</v>
      </c>
      <c r="W12" s="6" t="str">
        <v>1</v>
      </c>
      <c r="X12" s="6" t="str">
        <v>0</v>
      </c>
      <c r="Y12" s="6" t="str">
        <v>1</v>
      </c>
      <c r="Z12" s="6"/>
      <c r="AA12" s="17"/>
      <c r="AB12" s="6" t="str">
        <f>E12</f>
        <v>B9 =</v>
      </c>
      <c r="AC12" s="7"/>
      <c r="AD12" s="7" t="str">
        <f>G5</f>
        <v>0</v>
      </c>
      <c r="AE12" s="7" t="str">
        <f t="shared" ref="AE12:AV12" si="11">H5</f>
        <v>0</v>
      </c>
      <c r="AF12" s="7" t="str">
        <f t="shared" si="11"/>
        <v>1</v>
      </c>
      <c r="AG12" s="7" t="str">
        <f t="shared" si="11"/>
        <v>1</v>
      </c>
      <c r="AH12" s="7" t="str">
        <f t="shared" si="11"/>
        <v>.</v>
      </c>
      <c r="AI12" s="7" t="str">
        <f t="shared" si="11"/>
        <v>1</v>
      </c>
      <c r="AJ12" s="7" t="str">
        <f t="shared" si="11"/>
        <v>1</v>
      </c>
      <c r="AK12" s="7" t="str">
        <f t="shared" si="11"/>
        <v>1</v>
      </c>
      <c r="AL12" s="7" t="str">
        <f t="shared" si="11"/>
        <v>0</v>
      </c>
      <c r="AM12" s="7" t="str">
        <f t="shared" si="11"/>
        <v>.</v>
      </c>
      <c r="AN12" s="7" t="str">
        <f t="shared" si="11"/>
        <v>1</v>
      </c>
      <c r="AO12" s="7" t="str">
        <f t="shared" si="11"/>
        <v>1</v>
      </c>
      <c r="AP12" s="7" t="str">
        <f t="shared" si="11"/>
        <v>0</v>
      </c>
      <c r="AQ12" s="7" t="str">
        <f t="shared" si="11"/>
        <v>1</v>
      </c>
      <c r="AR12" s="7" t="str">
        <f t="shared" si="11"/>
        <v>.</v>
      </c>
      <c r="AS12" s="7" t="str">
        <f t="shared" si="11"/>
        <v>1</v>
      </c>
      <c r="AT12" s="7" t="str">
        <f t="shared" si="11"/>
        <v>0</v>
      </c>
      <c r="AU12" s="7" t="str">
        <f t="shared" si="11"/>
        <v>1</v>
      </c>
      <c r="AV12" s="7" t="str">
        <f t="shared" si="11"/>
        <v>0</v>
      </c>
      <c r="AW12" s="7"/>
      <c r="AX12" s="15"/>
      <c r="AY12" s="7"/>
      <c r="AZ12" s="12" t="s">
        <v>44</v>
      </c>
      <c r="BA12" s="12"/>
      <c r="BB12" s="7"/>
      <c r="BC12" s="12">
        <f>C5</f>
        <v>16090</v>
      </c>
      <c r="BD12" s="12"/>
      <c r="BE12" s="22" t="str" cm="1">
        <f t="array" ref="BE12">GenerateTextResult(AD12,AD13,AD15,AZ17)</f>
        <v>При сложении положительного и положительного слагаемых получено отрицательное число. Результат выполнения операции не верен из-за возникшего переполнения.</v>
      </c>
      <c r="BF12" s="22"/>
      <c r="BG12" s="22"/>
      <c r="BH12" s="22"/>
      <c r="BI12" s="22"/>
      <c r="BJ12" s="22"/>
      <c r="BK12" s="22"/>
    </row>
    <row r="13" spans="1:63">
      <c r="A13" s="1" t="s">
        <v>26</v>
      </c>
      <c r="B13" s="2" t="s">
        <v>27</v>
      </c>
      <c r="C13">
        <f t="shared" si="6"/>
        <v>-40541</v>
      </c>
      <c r="E13" s="1" t="s">
        <v>28</v>
      </c>
      <c r="F13" s="4" t="s">
        <v>38</v>
      </c>
      <c r="G13" s="5" t="str">
        <f t="array" ref="G13:Y13">DecimalToBinary(C13,16)</f>
        <v>0</v>
      </c>
      <c r="H13" s="6" t="str">
        <v>1</v>
      </c>
      <c r="I13" s="6" t="str">
        <v>1</v>
      </c>
      <c r="J13" s="6" t="str">
        <v>0</v>
      </c>
      <c r="K13" s="6" t="str">
        <v>.</v>
      </c>
      <c r="L13" s="6" t="str">
        <v>0</v>
      </c>
      <c r="M13" s="6" t="str">
        <v>0</v>
      </c>
      <c r="N13" s="6" t="str">
        <v>0</v>
      </c>
      <c r="O13" s="6" t="str">
        <v>1</v>
      </c>
      <c r="P13" s="6" t="str">
        <v>.</v>
      </c>
      <c r="Q13" s="6" t="str">
        <v>1</v>
      </c>
      <c r="R13" s="6" t="str">
        <v>0</v>
      </c>
      <c r="S13" s="6" t="str">
        <v>1</v>
      </c>
      <c r="T13" s="6" t="str">
        <v>0</v>
      </c>
      <c r="U13" s="6" t="str">
        <v>.</v>
      </c>
      <c r="V13" s="6" t="str">
        <v>0</v>
      </c>
      <c r="W13" s="6" t="str">
        <v>0</v>
      </c>
      <c r="X13" s="6" t="str">
        <v>1</v>
      </c>
      <c r="Y13" s="6" t="str">
        <v>1</v>
      </c>
      <c r="Z13" s="6"/>
      <c r="AA13" s="17"/>
      <c r="AB13" s="6" t="str">
        <f>E13</f>
        <v>B10 =</v>
      </c>
      <c r="AC13" s="7"/>
      <c r="AD13" s="7" t="str">
        <f>G6</f>
        <v>0</v>
      </c>
      <c r="AE13" s="7" t="str">
        <f>H6</f>
        <v>1</v>
      </c>
      <c r="AF13" s="7" t="str">
        <f t="shared" ref="AF13:AV13" si="12">I6</f>
        <v>0</v>
      </c>
      <c r="AG13" s="7" t="str">
        <f t="shared" si="12"/>
        <v>1</v>
      </c>
      <c r="AH13" s="7" t="str">
        <f t="shared" si="12"/>
        <v>.</v>
      </c>
      <c r="AI13" s="7" t="str">
        <f t="shared" si="12"/>
        <v>1</v>
      </c>
      <c r="AJ13" s="7" t="str">
        <f t="shared" si="12"/>
        <v>1</v>
      </c>
      <c r="AK13" s="7" t="str">
        <f t="shared" si="12"/>
        <v>1</v>
      </c>
      <c r="AL13" s="7" t="str">
        <f t="shared" si="12"/>
        <v>1</v>
      </c>
      <c r="AM13" s="7" t="str">
        <f t="shared" si="12"/>
        <v>.</v>
      </c>
      <c r="AN13" s="7" t="str">
        <f t="shared" si="12"/>
        <v>1</v>
      </c>
      <c r="AO13" s="7" t="str">
        <f t="shared" si="12"/>
        <v>0</v>
      </c>
      <c r="AP13" s="7" t="str">
        <f t="shared" si="12"/>
        <v>0</v>
      </c>
      <c r="AQ13" s="7" t="str">
        <f t="shared" si="12"/>
        <v>0</v>
      </c>
      <c r="AR13" s="7" t="str">
        <f t="shared" si="12"/>
        <v>.</v>
      </c>
      <c r="AS13" s="7" t="str">
        <f t="shared" si="12"/>
        <v>0</v>
      </c>
      <c r="AT13" s="7" t="str">
        <f t="shared" si="12"/>
        <v>0</v>
      </c>
      <c r="AU13" s="7" t="str">
        <f t="shared" si="12"/>
        <v>1</v>
      </c>
      <c r="AV13" s="7" t="str">
        <f t="shared" si="12"/>
        <v>1</v>
      </c>
      <c r="AW13" s="7"/>
      <c r="AX13" s="15"/>
      <c r="AY13" s="11" t="s">
        <v>45</v>
      </c>
      <c r="AZ13" s="12" t="s">
        <v>54</v>
      </c>
      <c r="BA13" s="12"/>
      <c r="BB13" s="7"/>
      <c r="BC13" s="12">
        <f>C6</f>
        <v>24451</v>
      </c>
      <c r="BD13" s="12"/>
      <c r="BE13" s="22"/>
      <c r="BF13" s="22"/>
      <c r="BG13" s="22"/>
      <c r="BH13" s="22"/>
      <c r="BI13" s="22"/>
      <c r="BJ13" s="22"/>
      <c r="BK13" s="22"/>
    </row>
    <row r="14" spans="1:63">
      <c r="A14" s="1" t="s">
        <v>29</v>
      </c>
      <c r="B14" s="2" t="s">
        <v>30</v>
      </c>
      <c r="C14">
        <f t="shared" si="6"/>
        <v>-7729</v>
      </c>
      <c r="E14" s="1" t="s">
        <v>31</v>
      </c>
      <c r="F14" s="4" t="s">
        <v>39</v>
      </c>
      <c r="G14" s="5" t="str">
        <f t="array" ref="G14:Y14">DecimalToBinary(C14,16)</f>
        <v>1</v>
      </c>
      <c r="H14" s="6" t="str">
        <v>1</v>
      </c>
      <c r="I14" s="6" t="str">
        <v>1</v>
      </c>
      <c r="J14" s="6" t="str">
        <v>0</v>
      </c>
      <c r="K14" s="6" t="str">
        <v>.</v>
      </c>
      <c r="L14" s="6" t="str">
        <v>0</v>
      </c>
      <c r="M14" s="6" t="str">
        <v>0</v>
      </c>
      <c r="N14" s="6" t="str">
        <v>0</v>
      </c>
      <c r="O14" s="6" t="str">
        <v>1</v>
      </c>
      <c r="P14" s="6" t="str">
        <v>.</v>
      </c>
      <c r="Q14" s="6" t="str">
        <v>1</v>
      </c>
      <c r="R14" s="6" t="str">
        <v>1</v>
      </c>
      <c r="S14" s="6" t="str">
        <v>0</v>
      </c>
      <c r="T14" s="6" t="str">
        <v>0</v>
      </c>
      <c r="U14" s="6" t="str">
        <v>.</v>
      </c>
      <c r="V14" s="6" t="str">
        <v>1</v>
      </c>
      <c r="W14" s="6" t="str">
        <v>1</v>
      </c>
      <c r="X14" s="6" t="str">
        <v>1</v>
      </c>
      <c r="Y14" s="6" t="str">
        <v>1</v>
      </c>
      <c r="Z14" s="6"/>
      <c r="AA14" s="17"/>
      <c r="AB14" s="6"/>
      <c r="AD14" s="4" t="s">
        <v>41</v>
      </c>
      <c r="AE14" s="4" t="s">
        <v>41</v>
      </c>
      <c r="AF14" s="4" t="s">
        <v>41</v>
      </c>
      <c r="AG14" s="4" t="s">
        <v>41</v>
      </c>
      <c r="AH14" s="4" t="s">
        <v>41</v>
      </c>
      <c r="AI14" s="4" t="s">
        <v>41</v>
      </c>
      <c r="AJ14" s="4" t="s">
        <v>41</v>
      </c>
      <c r="AK14" s="4" t="s">
        <v>41</v>
      </c>
      <c r="AL14" s="4" t="s">
        <v>41</v>
      </c>
      <c r="AM14" s="4" t="s">
        <v>41</v>
      </c>
      <c r="AN14" s="4" t="s">
        <v>41</v>
      </c>
      <c r="AO14" s="4" t="s">
        <v>41</v>
      </c>
      <c r="AP14" s="4" t="s">
        <v>41</v>
      </c>
      <c r="AQ14" s="4" t="s">
        <v>41</v>
      </c>
      <c r="AR14" s="4" t="s">
        <v>41</v>
      </c>
      <c r="AS14" s="4" t="s">
        <v>41</v>
      </c>
      <c r="AT14" s="4" t="s">
        <v>41</v>
      </c>
      <c r="AU14" s="4" t="s">
        <v>41</v>
      </c>
      <c r="AV14" s="4" t="s">
        <v>41</v>
      </c>
      <c r="AX14" s="15"/>
      <c r="AZ14" s="13" t="s">
        <v>46</v>
      </c>
      <c r="BA14" s="13"/>
      <c r="BB14" s="10" t="s">
        <v>45</v>
      </c>
      <c r="BC14" s="12" t="str">
        <f>AZ14</f>
        <v>--------</v>
      </c>
      <c r="BD14" s="12"/>
      <c r="BE14" s="22"/>
      <c r="BF14" s="22"/>
      <c r="BG14" s="22"/>
      <c r="BH14" s="22"/>
      <c r="BI14" s="22"/>
      <c r="BJ14" s="22"/>
      <c r="BK14" s="22"/>
    </row>
    <row r="15" spans="1:63">
      <c r="A15" s="1" t="s">
        <v>32</v>
      </c>
      <c r="B15" s="2" t="s">
        <v>33</v>
      </c>
      <c r="C15">
        <f t="shared" si="6"/>
        <v>-24995</v>
      </c>
      <c r="E15" s="1" t="s">
        <v>34</v>
      </c>
      <c r="F15" s="4" t="s">
        <v>40</v>
      </c>
      <c r="G15" s="5" t="str">
        <f t="array" ref="G15:Y15">DecimalToBinary(C15,16)</f>
        <v>1</v>
      </c>
      <c r="H15" s="6" t="str">
        <v>0</v>
      </c>
      <c r="I15" s="6" t="str">
        <v>0</v>
      </c>
      <c r="J15" s="6" t="str">
        <v>1</v>
      </c>
      <c r="K15" s="6" t="str">
        <v>.</v>
      </c>
      <c r="L15" s="6" t="str">
        <v>1</v>
      </c>
      <c r="M15" s="6" t="str">
        <v>1</v>
      </c>
      <c r="N15" s="6" t="str">
        <v>1</v>
      </c>
      <c r="O15" s="6" t="str">
        <v>0</v>
      </c>
      <c r="P15" s="6" t="str">
        <v>.</v>
      </c>
      <c r="Q15" s="6" t="str">
        <v>0</v>
      </c>
      <c r="R15" s="6" t="str">
        <v>1</v>
      </c>
      <c r="S15" s="6" t="str">
        <v>0</v>
      </c>
      <c r="T15" s="6" t="str">
        <v>1</v>
      </c>
      <c r="U15" s="6" t="str">
        <v>.</v>
      </c>
      <c r="V15" s="6" t="str">
        <v>1</v>
      </c>
      <c r="W15" s="6" t="str">
        <v>1</v>
      </c>
      <c r="X15" s="6" t="str">
        <v>0</v>
      </c>
      <c r="Y15" s="6" t="str">
        <v>1</v>
      </c>
      <c r="Z15" s="6"/>
      <c r="AA15" s="17"/>
      <c r="AB15" s="6"/>
      <c r="AD15" s="7">
        <f t="shared" ref="AD15:AF15" si="13">MOD(AD13+AD12+AD11,2)</f>
        <v>1</v>
      </c>
      <c r="AE15" s="7">
        <f t="shared" si="13"/>
        <v>0</v>
      </c>
      <c r="AF15" s="7">
        <f t="shared" si="13"/>
        <v>0</v>
      </c>
      <c r="AG15" s="7">
        <f>MOD(AG13+AG12+AG11,2)</f>
        <v>1</v>
      </c>
      <c r="AH15" s="7" t="str">
        <f>AH13</f>
        <v>.</v>
      </c>
      <c r="AI15" s="7">
        <f t="shared" ref="AI15:AL15" si="14">MOD(AI13+AI12+AI11,2)</f>
        <v>1</v>
      </c>
      <c r="AJ15" s="7">
        <f t="shared" si="14"/>
        <v>1</v>
      </c>
      <c r="AK15" s="7">
        <f t="shared" si="14"/>
        <v>1</v>
      </c>
      <c r="AL15" s="7">
        <f t="shared" si="14"/>
        <v>0</v>
      </c>
      <c r="AM15" s="7" t="str">
        <f>AM13</f>
        <v>.</v>
      </c>
      <c r="AN15" s="7">
        <f t="shared" ref="AN15:AQ15" si="15">MOD(AN13+AN12+AN11,2)</f>
        <v>0</v>
      </c>
      <c r="AO15" s="7">
        <f t="shared" si="15"/>
        <v>1</v>
      </c>
      <c r="AP15" s="7">
        <f t="shared" si="15"/>
        <v>0</v>
      </c>
      <c r="AQ15" s="7">
        <f t="shared" si="15"/>
        <v>1</v>
      </c>
      <c r="AR15" s="7" t="str">
        <f>AR13</f>
        <v>.</v>
      </c>
      <c r="AS15" s="7">
        <f t="shared" ref="AS15:AU15" si="16">MOD(AS13+AS12+AS11,2)</f>
        <v>1</v>
      </c>
      <c r="AT15" s="7">
        <f t="shared" si="16"/>
        <v>1</v>
      </c>
      <c r="AU15" s="7">
        <f t="shared" si="16"/>
        <v>0</v>
      </c>
      <c r="AV15" s="7">
        <f>MOD(AV13+AV12+AV11,2)</f>
        <v>1</v>
      </c>
      <c r="AW15" s="9" t="s">
        <v>42</v>
      </c>
      <c r="AX15" s="15" cm="1">
        <f t="array" ref="AX15">BinaryToDecimal(AD15:AV15)</f>
        <v>-24995</v>
      </c>
      <c r="AZ15" s="14">
        <f>C5+C6</f>
        <v>40541</v>
      </c>
      <c r="BA15" s="14"/>
      <c r="BC15" s="12">
        <f>BC13+BC12</f>
        <v>40541</v>
      </c>
      <c r="BD15" s="12"/>
      <c r="BE15" s="22"/>
      <c r="BF15" s="22"/>
      <c r="BG15" s="22"/>
      <c r="BH15" s="22"/>
      <c r="BI15" s="22"/>
      <c r="BJ15" s="22"/>
      <c r="BK15" s="22"/>
    </row>
    <row r="16" spans="1:63">
      <c r="AA16" s="17"/>
      <c r="AB16" s="6"/>
      <c r="AX16" s="16"/>
      <c r="BE16" s="22"/>
      <c r="BF16" s="22"/>
      <c r="BG16" s="22"/>
      <c r="BH16" s="22"/>
      <c r="BI16" s="22"/>
      <c r="BJ16" s="22"/>
      <c r="BK16" s="22"/>
    </row>
    <row r="17" spans="1:63">
      <c r="AA17" s="17"/>
      <c r="AB17" s="6"/>
      <c r="AC17" s="21" t="s">
        <v>47</v>
      </c>
      <c r="AD17" s="21"/>
      <c r="AE17" s="20">
        <f>AC11</f>
        <v>0</v>
      </c>
      <c r="AF17" s="21"/>
      <c r="AG17" t="s">
        <v>48</v>
      </c>
      <c r="AH17" s="21" t="s">
        <v>50</v>
      </c>
      <c r="AI17" s="21"/>
      <c r="AJ17" s="20">
        <f>IF(MOD(SUM(AS15:AV15,AN15:AQ15),2)=1,0,1)</f>
        <v>0</v>
      </c>
      <c r="AK17" s="21"/>
      <c r="AM17" s="21" t="s">
        <v>49</v>
      </c>
      <c r="AN17" s="21"/>
      <c r="AO17" s="20">
        <f>AQ11</f>
        <v>0</v>
      </c>
      <c r="AP17" s="21"/>
      <c r="AR17" s="21" t="s">
        <v>51</v>
      </c>
      <c r="AS17" s="21"/>
      <c r="AT17" s="20">
        <f>IF(SUM(AS15:AV15,AN15:AQ15,AI15:AL15,AD15:AG15)&lt;&gt;0,0,1)</f>
        <v>0</v>
      </c>
      <c r="AU17" s="21"/>
      <c r="AW17" t="s">
        <v>52</v>
      </c>
      <c r="AX17" s="15">
        <f>AD15</f>
        <v>1</v>
      </c>
      <c r="AY17" t="s">
        <v>53</v>
      </c>
      <c r="AZ17" s="16">
        <f>IF(AND(INT(AD13)=INT(AD12),INT(AD12)&lt;&gt;INT(AD15)),1,0)</f>
        <v>1</v>
      </c>
      <c r="BA17" s="16"/>
    </row>
    <row r="18" spans="1:63">
      <c r="A18" s="3"/>
      <c r="B18" s="3"/>
      <c r="AX18" s="16"/>
    </row>
    <row r="19" spans="1:63">
      <c r="AA19" s="16">
        <v>3</v>
      </c>
      <c r="AC19" s="8">
        <f t="shared" ref="AC19:AE19" si="17">FLOOR((AD20+AD21+AD19)/2,1)</f>
        <v>1</v>
      </c>
      <c r="AD19" s="8">
        <f t="shared" si="17"/>
        <v>1</v>
      </c>
      <c r="AE19" s="8">
        <f t="shared" si="17"/>
        <v>1</v>
      </c>
      <c r="AF19" s="8">
        <f>FLOOR((AG20+AG21+AG19)/2,1)</f>
        <v>1</v>
      </c>
      <c r="AG19" s="8">
        <f>FLOOR((AI20+AI21+AI19)/2,1)</f>
        <v>1</v>
      </c>
      <c r="AH19" s="8"/>
      <c r="AI19" s="8">
        <f t="shared" ref="AI19:AJ19" si="18">FLOOR((AJ20+AJ21+AJ19)/2,1)</f>
        <v>1</v>
      </c>
      <c r="AJ19" s="8">
        <f t="shared" si="18"/>
        <v>1</v>
      </c>
      <c r="AK19" s="8">
        <f>FLOOR((AL20+AL21+AL19)/2,1)</f>
        <v>1</v>
      </c>
      <c r="AL19" s="8">
        <f>FLOOR((AN20+AN21+AN19)/2,1)</f>
        <v>1</v>
      </c>
      <c r="AM19" s="8"/>
      <c r="AN19" s="8">
        <f t="shared" ref="AN19" si="19">FLOOR((AO20+AO21+AO19)/2,1)</f>
        <v>1</v>
      </c>
      <c r="AO19" s="8">
        <f>FLOOR((AP20+AP21+AP19)/2,1)</f>
        <v>0</v>
      </c>
      <c r="AP19" s="8">
        <f>FLOOR((AQ20+AQ21+AQ19)/2,1)</f>
        <v>1</v>
      </c>
      <c r="AQ19" s="8">
        <f>FLOOR((AS20+AS21+AS19)/2,1)</f>
        <v>1</v>
      </c>
      <c r="AR19" s="8"/>
      <c r="AS19" s="8">
        <f t="shared" ref="AS19:AU19" si="20">FLOOR((AT20+AT21+AT19)/2,1)</f>
        <v>1</v>
      </c>
      <c r="AT19" s="8">
        <f t="shared" si="20"/>
        <v>1</v>
      </c>
      <c r="AU19" s="8">
        <f t="shared" si="20"/>
        <v>0</v>
      </c>
      <c r="AV19" s="8">
        <f>FLOOR((AW20+AW21+AW19)/2,1)</f>
        <v>0</v>
      </c>
      <c r="AW19" s="7"/>
      <c r="AX19" s="15"/>
      <c r="AY19" s="7"/>
      <c r="AZ19" s="7"/>
      <c r="BA19" s="7"/>
      <c r="BC19" s="7"/>
      <c r="BD19" s="7"/>
      <c r="BE19" s="7"/>
      <c r="BF19" s="7"/>
      <c r="BG19" s="7"/>
      <c r="BH19" s="7"/>
    </row>
    <row r="20" spans="1:63">
      <c r="AA20" s="17"/>
      <c r="AB20" s="6" t="str">
        <f>E5</f>
        <v>B2 =</v>
      </c>
      <c r="AC20" s="7"/>
      <c r="AD20" s="7" t="str">
        <f>G5</f>
        <v>0</v>
      </c>
      <c r="AE20" s="7" t="str">
        <f t="shared" ref="AE20:AV20" si="21">H5</f>
        <v>0</v>
      </c>
      <c r="AF20" s="7" t="str">
        <f t="shared" si="21"/>
        <v>1</v>
      </c>
      <c r="AG20" s="7" t="str">
        <f t="shared" si="21"/>
        <v>1</v>
      </c>
      <c r="AH20" s="7" t="str">
        <f t="shared" si="21"/>
        <v>.</v>
      </c>
      <c r="AI20" s="7" t="str">
        <f t="shared" si="21"/>
        <v>1</v>
      </c>
      <c r="AJ20" s="7" t="str">
        <f t="shared" si="21"/>
        <v>1</v>
      </c>
      <c r="AK20" s="7" t="str">
        <f t="shared" si="21"/>
        <v>1</v>
      </c>
      <c r="AL20" s="7" t="str">
        <f t="shared" si="21"/>
        <v>0</v>
      </c>
      <c r="AM20" s="7" t="str">
        <f t="shared" si="21"/>
        <v>.</v>
      </c>
      <c r="AN20" s="7" t="str">
        <f t="shared" si="21"/>
        <v>1</v>
      </c>
      <c r="AO20" s="7" t="str">
        <f t="shared" si="21"/>
        <v>1</v>
      </c>
      <c r="AP20" s="7" t="str">
        <f t="shared" si="21"/>
        <v>0</v>
      </c>
      <c r="AQ20" s="7" t="str">
        <f t="shared" si="21"/>
        <v>1</v>
      </c>
      <c r="AR20" s="7" t="str">
        <f t="shared" si="21"/>
        <v>.</v>
      </c>
      <c r="AS20" s="7" t="str">
        <f t="shared" si="21"/>
        <v>1</v>
      </c>
      <c r="AT20" s="7" t="str">
        <f t="shared" si="21"/>
        <v>0</v>
      </c>
      <c r="AU20" s="7" t="str">
        <f t="shared" si="21"/>
        <v>1</v>
      </c>
      <c r="AV20" s="7" t="str">
        <f t="shared" si="21"/>
        <v>0</v>
      </c>
      <c r="AW20" s="7"/>
      <c r="AX20" s="15"/>
      <c r="AY20" s="7"/>
      <c r="AZ20" s="12" t="s">
        <v>44</v>
      </c>
      <c r="BA20" s="12"/>
      <c r="BB20" s="7"/>
      <c r="BC20" s="12">
        <f>C5</f>
        <v>16090</v>
      </c>
      <c r="BD20" s="12"/>
      <c r="BE20" s="22" t="str" cm="1">
        <f t="array" ref="BE20">GenerateTextResult(AD20,AD21,AD23,AZ25)</f>
        <v>При сложении положительного и отрицательного слагаемых получено положительное число. Результат выполнения операции верный и корректный, совпадает с суммой десятичных эквивалентов.</v>
      </c>
      <c r="BF20" s="22"/>
      <c r="BG20" s="22"/>
      <c r="BH20" s="22"/>
      <c r="BI20" s="22"/>
      <c r="BJ20" s="22"/>
      <c r="BK20" s="22"/>
    </row>
    <row r="21" spans="1:63">
      <c r="AA21" s="17"/>
      <c r="AB21" s="6" t="str">
        <f>E10</f>
        <v>B7 =</v>
      </c>
      <c r="AC21" s="7"/>
      <c r="AD21" s="7" t="str">
        <f>G10</f>
        <v>1</v>
      </c>
      <c r="AE21" s="7" t="str">
        <f t="shared" ref="AE21:AV21" si="22">H10</f>
        <v>1</v>
      </c>
      <c r="AF21" s="7" t="str">
        <f t="shared" si="22"/>
        <v>0</v>
      </c>
      <c r="AG21" s="7" t="str">
        <f t="shared" si="22"/>
        <v>1</v>
      </c>
      <c r="AH21" s="7" t="str">
        <f t="shared" si="22"/>
        <v>.</v>
      </c>
      <c r="AI21" s="7" t="str">
        <f t="shared" si="22"/>
        <v>1</v>
      </c>
      <c r="AJ21" s="7" t="str">
        <f t="shared" si="22"/>
        <v>1</v>
      </c>
      <c r="AK21" s="7" t="str">
        <f t="shared" si="22"/>
        <v>1</v>
      </c>
      <c r="AL21" s="7" t="str">
        <f t="shared" si="22"/>
        <v>1</v>
      </c>
      <c r="AM21" s="7" t="str">
        <f t="shared" si="22"/>
        <v>.</v>
      </c>
      <c r="AN21" s="7" t="str">
        <f t="shared" si="22"/>
        <v>0</v>
      </c>
      <c r="AO21" s="7" t="str">
        <f t="shared" si="22"/>
        <v>1</v>
      </c>
      <c r="AP21" s="7" t="str">
        <f t="shared" si="22"/>
        <v>0</v>
      </c>
      <c r="AQ21" s="7" t="str">
        <f t="shared" si="22"/>
        <v>1</v>
      </c>
      <c r="AR21" s="7" t="str">
        <f t="shared" si="22"/>
        <v>.</v>
      </c>
      <c r="AS21" s="7" t="str">
        <f t="shared" si="22"/>
        <v>0</v>
      </c>
      <c r="AT21" s="7" t="str">
        <f t="shared" si="22"/>
        <v>1</v>
      </c>
      <c r="AU21" s="7" t="str">
        <f t="shared" si="22"/>
        <v>1</v>
      </c>
      <c r="AV21" s="7" t="str">
        <f t="shared" si="22"/>
        <v>1</v>
      </c>
      <c r="AW21" s="7"/>
      <c r="AX21" s="15"/>
      <c r="AY21" s="11" t="s">
        <v>45</v>
      </c>
      <c r="AZ21" s="12" t="s">
        <v>55</v>
      </c>
      <c r="BA21" s="12"/>
      <c r="BB21" s="7"/>
      <c r="BC21" s="12">
        <f>C10</f>
        <v>-8361</v>
      </c>
      <c r="BD21" s="12"/>
      <c r="BE21" s="22"/>
      <c r="BF21" s="22"/>
      <c r="BG21" s="22"/>
      <c r="BH21" s="22"/>
      <c r="BI21" s="22"/>
      <c r="BJ21" s="22"/>
      <c r="BK21" s="22"/>
    </row>
    <row r="22" spans="1:63">
      <c r="AA22" s="17"/>
      <c r="AB22" s="6"/>
      <c r="AD22" s="4" t="s">
        <v>41</v>
      </c>
      <c r="AE22" s="4" t="s">
        <v>41</v>
      </c>
      <c r="AF22" s="4" t="s">
        <v>41</v>
      </c>
      <c r="AG22" s="4" t="s">
        <v>41</v>
      </c>
      <c r="AH22" s="4" t="s">
        <v>41</v>
      </c>
      <c r="AI22" s="4" t="s">
        <v>41</v>
      </c>
      <c r="AJ22" s="4" t="s">
        <v>41</v>
      </c>
      <c r="AK22" s="4" t="s">
        <v>41</v>
      </c>
      <c r="AL22" s="4" t="s">
        <v>41</v>
      </c>
      <c r="AM22" s="4" t="s">
        <v>41</v>
      </c>
      <c r="AN22" s="4" t="s">
        <v>41</v>
      </c>
      <c r="AO22" s="4" t="s">
        <v>41</v>
      </c>
      <c r="AP22" s="4" t="s">
        <v>41</v>
      </c>
      <c r="AQ22" s="4" t="s">
        <v>41</v>
      </c>
      <c r="AR22" s="4" t="s">
        <v>41</v>
      </c>
      <c r="AS22" s="4" t="s">
        <v>41</v>
      </c>
      <c r="AT22" s="4" t="s">
        <v>41</v>
      </c>
      <c r="AU22" s="4" t="s">
        <v>41</v>
      </c>
      <c r="AV22" s="4" t="s">
        <v>41</v>
      </c>
      <c r="AX22" s="15"/>
      <c r="AZ22" s="13" t="s">
        <v>46</v>
      </c>
      <c r="BA22" s="13"/>
      <c r="BB22" s="10" t="s">
        <v>45</v>
      </c>
      <c r="BC22" s="12" t="str">
        <f>AZ22</f>
        <v>--------</v>
      </c>
      <c r="BD22" s="12"/>
      <c r="BE22" s="22"/>
      <c r="BF22" s="22"/>
      <c r="BG22" s="22"/>
      <c r="BH22" s="22"/>
      <c r="BI22" s="22"/>
      <c r="BJ22" s="22"/>
      <c r="BK22" s="22"/>
    </row>
    <row r="23" spans="1:63">
      <c r="AA23" s="17"/>
      <c r="AB23" s="6"/>
      <c r="AD23" s="7">
        <f t="shared" ref="AD23:AF23" si="23">MOD(AD21+AD20+AD19,2)</f>
        <v>0</v>
      </c>
      <c r="AE23" s="7">
        <f t="shared" si="23"/>
        <v>0</v>
      </c>
      <c r="AF23" s="7">
        <f t="shared" si="23"/>
        <v>0</v>
      </c>
      <c r="AG23" s="7">
        <f>MOD(AG21+AG20+AG19,2)</f>
        <v>1</v>
      </c>
      <c r="AH23" s="7" t="str">
        <f>AH21</f>
        <v>.</v>
      </c>
      <c r="AI23" s="7">
        <f t="shared" ref="AI23:AL23" si="24">MOD(AI21+AI20+AI19,2)</f>
        <v>1</v>
      </c>
      <c r="AJ23" s="7">
        <f t="shared" si="24"/>
        <v>1</v>
      </c>
      <c r="AK23" s="7">
        <f t="shared" si="24"/>
        <v>1</v>
      </c>
      <c r="AL23" s="7">
        <f t="shared" si="24"/>
        <v>0</v>
      </c>
      <c r="AM23" s="7" t="str">
        <f>AM21</f>
        <v>.</v>
      </c>
      <c r="AN23" s="7">
        <f t="shared" ref="AN23:AQ23" si="25">MOD(AN21+AN20+AN19,2)</f>
        <v>0</v>
      </c>
      <c r="AO23" s="7">
        <f t="shared" si="25"/>
        <v>0</v>
      </c>
      <c r="AP23" s="7">
        <f t="shared" si="25"/>
        <v>1</v>
      </c>
      <c r="AQ23" s="7">
        <f t="shared" si="25"/>
        <v>1</v>
      </c>
      <c r="AR23" s="7" t="str">
        <f>AR21</f>
        <v>.</v>
      </c>
      <c r="AS23" s="7">
        <f t="shared" ref="AS23:AU23" si="26">MOD(AS21+AS20+AS19,2)</f>
        <v>0</v>
      </c>
      <c r="AT23" s="7">
        <f t="shared" si="26"/>
        <v>0</v>
      </c>
      <c r="AU23" s="7">
        <f t="shared" si="26"/>
        <v>0</v>
      </c>
      <c r="AV23" s="7">
        <f>MOD(AV21+AV20+AV19,2)</f>
        <v>1</v>
      </c>
      <c r="AW23" s="9" t="s">
        <v>42</v>
      </c>
      <c r="AX23" s="15" cm="1">
        <f t="array" ref="AX23">BinaryToDecimal(AD23:AV23)</f>
        <v>7729</v>
      </c>
      <c r="AZ23" s="14">
        <f>C5+C10</f>
        <v>7729</v>
      </c>
      <c r="BA23" s="14"/>
      <c r="BC23" s="12">
        <f>BC21+BC20</f>
        <v>7729</v>
      </c>
      <c r="BD23" s="12"/>
      <c r="BE23" s="22"/>
      <c r="BF23" s="22"/>
      <c r="BG23" s="22"/>
      <c r="BH23" s="22"/>
      <c r="BI23" s="22"/>
      <c r="BJ23" s="22"/>
      <c r="BK23" s="22"/>
    </row>
    <row r="24" spans="1:63">
      <c r="AA24" s="17"/>
      <c r="AB24" s="6"/>
      <c r="AX24" s="16"/>
      <c r="BE24" s="22"/>
      <c r="BF24" s="22"/>
      <c r="BG24" s="22"/>
      <c r="BH24" s="22"/>
      <c r="BI24" s="22"/>
      <c r="BJ24" s="22"/>
      <c r="BK24" s="22"/>
    </row>
    <row r="25" spans="1:63">
      <c r="AA25" s="17"/>
      <c r="AB25" s="6"/>
      <c r="AC25" s="21" t="s">
        <v>47</v>
      </c>
      <c r="AD25" s="21"/>
      <c r="AE25" s="20">
        <f>AC19</f>
        <v>1</v>
      </c>
      <c r="AF25" s="21"/>
      <c r="AG25" t="s">
        <v>48</v>
      </c>
      <c r="AH25" s="21" t="s">
        <v>50</v>
      </c>
      <c r="AI25" s="21"/>
      <c r="AJ25" s="20">
        <f>IF(MOD(SUM(AS23:AV23,AN23:AQ23),2)=1,0,1)</f>
        <v>0</v>
      </c>
      <c r="AK25" s="21"/>
      <c r="AM25" s="21" t="s">
        <v>49</v>
      </c>
      <c r="AN25" s="21"/>
      <c r="AO25" s="20">
        <f>AQ19</f>
        <v>1</v>
      </c>
      <c r="AP25" s="21"/>
      <c r="AR25" s="21" t="s">
        <v>51</v>
      </c>
      <c r="AS25" s="21"/>
      <c r="AT25" s="20">
        <f>IF(SUM(AS23:AV23,AN23:AQ23,AI23:AL23,AD23:AG23)&lt;&gt;0,0,1)</f>
        <v>0</v>
      </c>
      <c r="AU25" s="21"/>
      <c r="AW25" t="s">
        <v>52</v>
      </c>
      <c r="AX25" s="15">
        <f>AD23</f>
        <v>0</v>
      </c>
      <c r="AY25" t="s">
        <v>53</v>
      </c>
      <c r="AZ25" s="16">
        <f>IF(AND(INT(AD21)=INT(AD20),INT(AD20)&lt;&gt;INT(AD23)),1,0)</f>
        <v>0</v>
      </c>
      <c r="BA25" s="16"/>
    </row>
    <row r="26" spans="1:63">
      <c r="AX26" s="16"/>
    </row>
    <row r="27" spans="1:63">
      <c r="AA27" s="16">
        <v>4</v>
      </c>
      <c r="AC27" s="8">
        <f t="shared" ref="AC27:AE27" si="27">FLOOR((AD28+AD29+AD27)/2,1)</f>
        <v>1</v>
      </c>
      <c r="AD27" s="8">
        <f t="shared" si="27"/>
        <v>1</v>
      </c>
      <c r="AE27" s="8">
        <f t="shared" si="27"/>
        <v>0</v>
      </c>
      <c r="AF27" s="8">
        <f>FLOOR((AG28+AG29+AG27)/2,1)</f>
        <v>1</v>
      </c>
      <c r="AG27" s="8">
        <f>FLOOR((AI28+AI29+AI27)/2,1)</f>
        <v>1</v>
      </c>
      <c r="AH27" s="8"/>
      <c r="AI27" s="8">
        <f t="shared" ref="AI27:AJ27" si="28">FLOOR((AJ28+AJ29+AJ27)/2,1)</f>
        <v>1</v>
      </c>
      <c r="AJ27" s="8">
        <f t="shared" si="28"/>
        <v>1</v>
      </c>
      <c r="AK27" s="8">
        <f>FLOOR((AL28+AL29+AL27)/2,1)</f>
        <v>1</v>
      </c>
      <c r="AL27" s="8">
        <f>FLOOR((AN28+AN29+AN27)/2,1)</f>
        <v>0</v>
      </c>
      <c r="AM27" s="8"/>
      <c r="AN27" s="8">
        <f t="shared" ref="AN27" si="29">FLOOR((AO28+AO29+AO27)/2,1)</f>
        <v>0</v>
      </c>
      <c r="AO27" s="8">
        <f>FLOOR((AP28+AP29+AP27)/2,1)</f>
        <v>0</v>
      </c>
      <c r="AP27" s="8">
        <f>FLOOR((AQ28+AQ29+AQ27)/2,1)</f>
        <v>0</v>
      </c>
      <c r="AQ27" s="8">
        <f>FLOOR((AS28+AS29+AS27)/2,1)</f>
        <v>0</v>
      </c>
      <c r="AR27" s="8"/>
      <c r="AS27" s="8">
        <f t="shared" ref="AS27:AU27" si="30">FLOOR((AT28+AT29+AT27)/2,1)</f>
        <v>1</v>
      </c>
      <c r="AT27" s="8">
        <f t="shared" si="30"/>
        <v>1</v>
      </c>
      <c r="AU27" s="8">
        <f t="shared" si="30"/>
        <v>0</v>
      </c>
      <c r="AV27" s="8">
        <f>FLOOR((AW28+AW29+AW27)/2,1)</f>
        <v>0</v>
      </c>
      <c r="AW27" s="7"/>
      <c r="AX27" s="15"/>
      <c r="AY27" s="7"/>
      <c r="AZ27" s="7"/>
      <c r="BA27" s="7"/>
      <c r="BC27" s="7"/>
      <c r="BD27" s="7"/>
      <c r="BE27" s="7"/>
      <c r="BF27" s="7"/>
      <c r="BG27" s="7"/>
      <c r="BH27" s="7"/>
    </row>
    <row r="28" spans="1:63">
      <c r="AA28" s="17"/>
      <c r="AB28" s="6" t="str">
        <f>E10</f>
        <v>B7 =</v>
      </c>
      <c r="AC28" s="7"/>
      <c r="AD28" s="7" t="str">
        <f>G10</f>
        <v>1</v>
      </c>
      <c r="AE28" s="7" t="str">
        <f t="shared" ref="AE28:AV28" si="31">H10</f>
        <v>1</v>
      </c>
      <c r="AF28" s="7" t="str">
        <f t="shared" si="31"/>
        <v>0</v>
      </c>
      <c r="AG28" s="7" t="str">
        <f t="shared" si="31"/>
        <v>1</v>
      </c>
      <c r="AH28" s="7" t="str">
        <f t="shared" si="31"/>
        <v>.</v>
      </c>
      <c r="AI28" s="7" t="str">
        <f t="shared" si="31"/>
        <v>1</v>
      </c>
      <c r="AJ28" s="7" t="str">
        <f t="shared" si="31"/>
        <v>1</v>
      </c>
      <c r="AK28" s="7" t="str">
        <f t="shared" si="31"/>
        <v>1</v>
      </c>
      <c r="AL28" s="7" t="str">
        <f t="shared" si="31"/>
        <v>1</v>
      </c>
      <c r="AM28" s="7" t="str">
        <f>P10</f>
        <v>.</v>
      </c>
      <c r="AN28" s="7" t="str">
        <f t="shared" si="31"/>
        <v>0</v>
      </c>
      <c r="AO28" s="7" t="str">
        <f t="shared" si="31"/>
        <v>1</v>
      </c>
      <c r="AP28" s="7" t="str">
        <f t="shared" si="31"/>
        <v>0</v>
      </c>
      <c r="AQ28" s="7" t="str">
        <f t="shared" si="31"/>
        <v>1</v>
      </c>
      <c r="AR28" s="7" t="str">
        <f t="shared" si="31"/>
        <v>.</v>
      </c>
      <c r="AS28" s="7" t="str">
        <f t="shared" si="31"/>
        <v>0</v>
      </c>
      <c r="AT28" s="7" t="str">
        <f t="shared" si="31"/>
        <v>1</v>
      </c>
      <c r="AU28" s="7" t="str">
        <f t="shared" si="31"/>
        <v>1</v>
      </c>
      <c r="AV28" s="7" t="str">
        <f t="shared" si="31"/>
        <v>1</v>
      </c>
      <c r="AW28" s="7"/>
      <c r="AX28" s="15"/>
      <c r="AY28" s="7"/>
      <c r="AZ28" s="12" t="s">
        <v>55</v>
      </c>
      <c r="BA28" s="12"/>
      <c r="BB28" s="7"/>
      <c r="BC28" s="12">
        <f>C10</f>
        <v>-8361</v>
      </c>
      <c r="BD28" s="12"/>
      <c r="BE28" s="22" t="str" cm="1">
        <f t="array" ref="BE28">GenerateTextResult(AD28,AD29,AD31,AZ33)</f>
        <v>При сложении отрицательного и отрицательного слагаемых получено отрицательное число. Результат выполнения операции верный и корректный, совпадает с суммой десятичных эквивалентов.</v>
      </c>
      <c r="BF28" s="22"/>
      <c r="BG28" s="22"/>
      <c r="BH28" s="22"/>
      <c r="BI28" s="22"/>
      <c r="BJ28" s="22"/>
      <c r="BK28" s="22"/>
    </row>
    <row r="29" spans="1:63">
      <c r="AA29" s="17"/>
      <c r="AB29" s="6" t="str">
        <f>E11</f>
        <v>B8 =</v>
      </c>
      <c r="AC29" s="7"/>
      <c r="AD29" s="7" t="str">
        <f>G11</f>
        <v>1</v>
      </c>
      <c r="AE29" s="7" t="str">
        <f t="shared" ref="AE29:AV29" si="32">H11</f>
        <v>1</v>
      </c>
      <c r="AF29" s="7" t="str">
        <f t="shared" si="32"/>
        <v>0</v>
      </c>
      <c r="AG29" s="7" t="str">
        <f t="shared" si="32"/>
        <v>0</v>
      </c>
      <c r="AH29" s="7" t="str">
        <f t="shared" si="32"/>
        <v>.</v>
      </c>
      <c r="AI29" s="7" t="str">
        <f t="shared" si="32"/>
        <v>0</v>
      </c>
      <c r="AJ29" s="7" t="str">
        <f t="shared" si="32"/>
        <v>0</v>
      </c>
      <c r="AK29" s="7" t="str">
        <f t="shared" si="32"/>
        <v>0</v>
      </c>
      <c r="AL29" s="7" t="str">
        <f t="shared" si="32"/>
        <v>1</v>
      </c>
      <c r="AM29" s="7" t="str">
        <f t="shared" si="32"/>
        <v>.</v>
      </c>
      <c r="AN29" s="7" t="str">
        <f t="shared" si="32"/>
        <v>0</v>
      </c>
      <c r="AO29" s="7" t="str">
        <f t="shared" si="32"/>
        <v>0</v>
      </c>
      <c r="AP29" s="7" t="str">
        <f t="shared" si="32"/>
        <v>1</v>
      </c>
      <c r="AQ29" s="7" t="str">
        <f t="shared" si="32"/>
        <v>0</v>
      </c>
      <c r="AR29" s="7" t="str">
        <f t="shared" si="32"/>
        <v>.</v>
      </c>
      <c r="AS29" s="7" t="str">
        <f t="shared" si="32"/>
        <v>0</v>
      </c>
      <c r="AT29" s="7" t="str">
        <f t="shared" si="32"/>
        <v>1</v>
      </c>
      <c r="AU29" s="7" t="str">
        <f t="shared" si="32"/>
        <v>1</v>
      </c>
      <c r="AV29" s="7" t="str">
        <f t="shared" si="32"/>
        <v>0</v>
      </c>
      <c r="AW29" s="7"/>
      <c r="AX29" s="15"/>
      <c r="AY29" s="11" t="s">
        <v>45</v>
      </c>
      <c r="AZ29" s="12" t="s">
        <v>56</v>
      </c>
      <c r="BA29" s="12"/>
      <c r="BB29" s="7"/>
      <c r="BC29" s="12">
        <f>C11</f>
        <v>-16090</v>
      </c>
      <c r="BD29" s="12"/>
      <c r="BE29" s="22"/>
      <c r="BF29" s="22"/>
      <c r="BG29" s="22"/>
      <c r="BH29" s="22"/>
      <c r="BI29" s="22"/>
      <c r="BJ29" s="22"/>
      <c r="BK29" s="22"/>
    </row>
    <row r="30" spans="1:63">
      <c r="AA30" s="17"/>
      <c r="AB30" s="6"/>
      <c r="AD30" s="4" t="s">
        <v>41</v>
      </c>
      <c r="AE30" s="4" t="s">
        <v>41</v>
      </c>
      <c r="AF30" s="4" t="s">
        <v>41</v>
      </c>
      <c r="AG30" s="4" t="s">
        <v>41</v>
      </c>
      <c r="AH30" s="4" t="s">
        <v>41</v>
      </c>
      <c r="AI30" s="4" t="s">
        <v>41</v>
      </c>
      <c r="AJ30" s="4" t="s">
        <v>41</v>
      </c>
      <c r="AK30" s="4" t="s">
        <v>41</v>
      </c>
      <c r="AL30" s="4" t="s">
        <v>41</v>
      </c>
      <c r="AM30" s="4" t="s">
        <v>41</v>
      </c>
      <c r="AN30" s="4" t="s">
        <v>41</v>
      </c>
      <c r="AO30" s="4" t="s">
        <v>41</v>
      </c>
      <c r="AP30" s="4" t="s">
        <v>41</v>
      </c>
      <c r="AQ30" s="4" t="s">
        <v>41</v>
      </c>
      <c r="AR30" s="4" t="s">
        <v>41</v>
      </c>
      <c r="AS30" s="4" t="s">
        <v>41</v>
      </c>
      <c r="AT30" s="4" t="s">
        <v>41</v>
      </c>
      <c r="AU30" s="4" t="s">
        <v>41</v>
      </c>
      <c r="AV30" s="4" t="s">
        <v>41</v>
      </c>
      <c r="AX30" s="15"/>
      <c r="AZ30" s="13" t="s">
        <v>46</v>
      </c>
      <c r="BA30" s="13"/>
      <c r="BB30" s="10" t="s">
        <v>45</v>
      </c>
      <c r="BC30" s="12" t="str">
        <f>AZ30</f>
        <v>--------</v>
      </c>
      <c r="BD30" s="12"/>
      <c r="BE30" s="22"/>
      <c r="BF30" s="22"/>
      <c r="BG30" s="22"/>
      <c r="BH30" s="22"/>
      <c r="BI30" s="22"/>
      <c r="BJ30" s="22"/>
      <c r="BK30" s="22"/>
    </row>
    <row r="31" spans="1:63">
      <c r="AA31" s="17"/>
      <c r="AB31" s="6"/>
      <c r="AD31" s="7">
        <f t="shared" ref="AD31:AF31" si="33">MOD(AD29+AD28+AD27,2)</f>
        <v>1</v>
      </c>
      <c r="AE31" s="7">
        <f t="shared" si="33"/>
        <v>0</v>
      </c>
      <c r="AF31" s="7">
        <f t="shared" si="33"/>
        <v>1</v>
      </c>
      <c r="AG31" s="7">
        <f>MOD(AG29+AG28+AG27,2)</f>
        <v>0</v>
      </c>
      <c r="AH31" s="7" t="str">
        <f>AH29</f>
        <v>.</v>
      </c>
      <c r="AI31" s="7">
        <f t="shared" ref="AI31:AL31" si="34">MOD(AI29+AI28+AI27,2)</f>
        <v>0</v>
      </c>
      <c r="AJ31" s="7">
        <f t="shared" si="34"/>
        <v>0</v>
      </c>
      <c r="AK31" s="7">
        <f t="shared" si="34"/>
        <v>0</v>
      </c>
      <c r="AL31" s="7">
        <f t="shared" si="34"/>
        <v>0</v>
      </c>
      <c r="AM31" s="7" t="str">
        <f>AM29</f>
        <v>.</v>
      </c>
      <c r="AN31" s="7">
        <f t="shared" ref="AN31:AQ31" si="35">MOD(AN29+AN28+AN27,2)</f>
        <v>0</v>
      </c>
      <c r="AO31" s="7">
        <f t="shared" si="35"/>
        <v>1</v>
      </c>
      <c r="AP31" s="7">
        <f t="shared" si="35"/>
        <v>1</v>
      </c>
      <c r="AQ31" s="7">
        <f t="shared" si="35"/>
        <v>1</v>
      </c>
      <c r="AR31" s="7" t="str">
        <f>AR29</f>
        <v>.</v>
      </c>
      <c r="AS31" s="7">
        <f t="shared" ref="AS31:AU31" si="36">MOD(AS29+AS28+AS27,2)</f>
        <v>1</v>
      </c>
      <c r="AT31" s="7">
        <f t="shared" si="36"/>
        <v>1</v>
      </c>
      <c r="AU31" s="7">
        <f t="shared" si="36"/>
        <v>0</v>
      </c>
      <c r="AV31" s="7">
        <f>MOD(AV29+AV28+AV27,2)</f>
        <v>1</v>
      </c>
      <c r="AW31" s="9" t="s">
        <v>42</v>
      </c>
      <c r="AX31" s="15" cm="1">
        <f t="array" ref="AX31">BinaryToDecimal(AD31:AV31)</f>
        <v>-24451</v>
      </c>
      <c r="AZ31" s="14">
        <f>C10+C11</f>
        <v>-24451</v>
      </c>
      <c r="BA31" s="14"/>
      <c r="BC31" s="12">
        <f>BC29+BC28</f>
        <v>-24451</v>
      </c>
      <c r="BD31" s="12"/>
      <c r="BE31" s="22"/>
      <c r="BF31" s="22"/>
      <c r="BG31" s="22"/>
      <c r="BH31" s="22"/>
      <c r="BI31" s="22"/>
      <c r="BJ31" s="22"/>
      <c r="BK31" s="22"/>
    </row>
    <row r="32" spans="1:63">
      <c r="AA32" s="17"/>
      <c r="AB32" s="6"/>
      <c r="BE32" s="22"/>
      <c r="BF32" s="22"/>
      <c r="BG32" s="22"/>
      <c r="BH32" s="22"/>
      <c r="BI32" s="22"/>
      <c r="BJ32" s="22"/>
      <c r="BK32" s="22"/>
    </row>
    <row r="33" spans="27:63">
      <c r="AA33" s="17"/>
      <c r="AB33" s="6"/>
      <c r="AC33" s="21" t="s">
        <v>47</v>
      </c>
      <c r="AD33" s="21"/>
      <c r="AE33" s="20">
        <f>AC27</f>
        <v>1</v>
      </c>
      <c r="AF33" s="21"/>
      <c r="AG33" t="s">
        <v>48</v>
      </c>
      <c r="AH33" s="21" t="s">
        <v>50</v>
      </c>
      <c r="AI33" s="21"/>
      <c r="AJ33" s="20">
        <f>IF(MOD(SUM(AS31:AV31,AN31:AQ31),2)=1,0,1)</f>
        <v>1</v>
      </c>
      <c r="AK33" s="21"/>
      <c r="AM33" s="21" t="s">
        <v>49</v>
      </c>
      <c r="AN33" s="21"/>
      <c r="AO33" s="20">
        <f>AQ27</f>
        <v>0</v>
      </c>
      <c r="AP33" s="21"/>
      <c r="AR33" s="21" t="s">
        <v>51</v>
      </c>
      <c r="AS33" s="21"/>
      <c r="AT33" s="20">
        <f>IF(SUM(AS31:AV31,AN31:AQ31,AI31:AL31,AD31:AG31)&lt;&gt;0,0,1)</f>
        <v>0</v>
      </c>
      <c r="AU33" s="21"/>
      <c r="AW33" t="s">
        <v>52</v>
      </c>
      <c r="AX33" s="15">
        <f>AD31</f>
        <v>1</v>
      </c>
      <c r="AY33" t="s">
        <v>53</v>
      </c>
      <c r="AZ33" s="16">
        <f>IF(AND(INT(AD29)=INT(AD28),INT(AD28)&lt;&gt;INT(AD31)),1,0)</f>
        <v>0</v>
      </c>
      <c r="BA33" s="16"/>
    </row>
    <row r="35" spans="27:63">
      <c r="AA35" s="16">
        <v>5</v>
      </c>
      <c r="AC35" s="8">
        <f t="shared" ref="AC35:AE35" si="37">FLOOR((AD36+AD37+AD35)/2,1)</f>
        <v>1</v>
      </c>
      <c r="AD35" s="8">
        <f t="shared" si="37"/>
        <v>0</v>
      </c>
      <c r="AE35" s="8">
        <f t="shared" si="37"/>
        <v>0</v>
      </c>
      <c r="AF35" s="8">
        <f>FLOOR((AG36+AG37+AG35)/2,1)</f>
        <v>0</v>
      </c>
      <c r="AG35" s="8">
        <f>FLOOR((AI36+AI37+AI35)/2,1)</f>
        <v>0</v>
      </c>
      <c r="AH35" s="8"/>
      <c r="AI35" s="8">
        <f t="shared" ref="AI35:AJ35" si="38">FLOOR((AJ36+AJ37+AJ35)/2,1)</f>
        <v>0</v>
      </c>
      <c r="AJ35" s="8">
        <f t="shared" si="38"/>
        <v>0</v>
      </c>
      <c r="AK35" s="8">
        <f>FLOOR((AL36+AL37+AL35)/2,1)</f>
        <v>0</v>
      </c>
      <c r="AL35" s="8">
        <f>FLOOR((AN36+AN37+AN35)/2,1)</f>
        <v>0</v>
      </c>
      <c r="AM35" s="8"/>
      <c r="AN35" s="8">
        <f t="shared" ref="AN35" si="39">FLOOR((AO36+AO37+AO35)/2,1)</f>
        <v>1</v>
      </c>
      <c r="AO35" s="8">
        <f>FLOOR((AP36+AP37+AP35)/2,1)</f>
        <v>1</v>
      </c>
      <c r="AP35" s="8">
        <f>FLOOR((AQ36+AQ37+AQ35)/2,1)</f>
        <v>1</v>
      </c>
      <c r="AQ35" s="8">
        <f>FLOOR((AS36+AS37+AS35)/2,1)</f>
        <v>1</v>
      </c>
      <c r="AR35" s="8"/>
      <c r="AS35" s="8">
        <f t="shared" ref="AS35:AU35" si="40">FLOOR((AT36+AT37+AT35)/2,1)</f>
        <v>1</v>
      </c>
      <c r="AT35" s="8">
        <f t="shared" si="40"/>
        <v>0</v>
      </c>
      <c r="AU35" s="8">
        <f t="shared" si="40"/>
        <v>0</v>
      </c>
      <c r="AV35" s="8">
        <f>FLOOR((AW36+AW37+AW35)/2,1)</f>
        <v>0</v>
      </c>
      <c r="AW35" s="7"/>
      <c r="AX35" s="15"/>
      <c r="AY35" s="7"/>
      <c r="AZ35" s="7"/>
      <c r="BA35" s="7"/>
      <c r="BC35" s="7"/>
      <c r="BD35" s="7"/>
      <c r="BE35" s="7"/>
      <c r="BF35" s="7"/>
      <c r="BG35" s="7"/>
      <c r="BH35" s="7"/>
    </row>
    <row r="36" spans="27:63">
      <c r="AA36" s="17"/>
      <c r="AB36" s="6" t="str">
        <f>E11</f>
        <v>B8 =</v>
      </c>
      <c r="AC36" s="7"/>
      <c r="AD36" s="7" t="str">
        <f>G11</f>
        <v>1</v>
      </c>
      <c r="AE36" s="7" t="str">
        <f t="shared" ref="AE36:AV36" si="41">H11</f>
        <v>1</v>
      </c>
      <c r="AF36" s="7" t="str">
        <f t="shared" si="41"/>
        <v>0</v>
      </c>
      <c r="AG36" s="7" t="str">
        <f t="shared" si="41"/>
        <v>0</v>
      </c>
      <c r="AH36" s="7" t="str">
        <f t="shared" si="41"/>
        <v>.</v>
      </c>
      <c r="AI36" s="7" t="str">
        <f t="shared" si="41"/>
        <v>0</v>
      </c>
      <c r="AJ36" s="7" t="str">
        <f t="shared" si="41"/>
        <v>0</v>
      </c>
      <c r="AK36" s="7" t="str">
        <f t="shared" si="41"/>
        <v>0</v>
      </c>
      <c r="AL36" s="7" t="str">
        <f t="shared" si="41"/>
        <v>1</v>
      </c>
      <c r="AM36" s="7" t="str">
        <f t="shared" si="41"/>
        <v>.</v>
      </c>
      <c r="AN36" s="7" t="str">
        <f t="shared" si="41"/>
        <v>0</v>
      </c>
      <c r="AO36" s="7" t="str">
        <f t="shared" si="41"/>
        <v>0</v>
      </c>
      <c r="AP36" s="7" t="str">
        <f t="shared" si="41"/>
        <v>1</v>
      </c>
      <c r="AQ36" s="7" t="str">
        <f t="shared" si="41"/>
        <v>0</v>
      </c>
      <c r="AR36" s="7" t="str">
        <f t="shared" si="41"/>
        <v>.</v>
      </c>
      <c r="AS36" s="7" t="str">
        <f t="shared" si="41"/>
        <v>0</v>
      </c>
      <c r="AT36" s="7" t="str">
        <f t="shared" si="41"/>
        <v>1</v>
      </c>
      <c r="AU36" s="7" t="str">
        <f t="shared" si="41"/>
        <v>1</v>
      </c>
      <c r="AV36" s="7" t="str">
        <f t="shared" si="41"/>
        <v>0</v>
      </c>
      <c r="AW36" s="7"/>
      <c r="AX36" s="15"/>
      <c r="AY36" s="7"/>
      <c r="AZ36" s="12" t="s">
        <v>56</v>
      </c>
      <c r="BA36" s="12"/>
      <c r="BB36" s="7"/>
      <c r="BC36" s="12">
        <f>C11</f>
        <v>-16090</v>
      </c>
      <c r="BD36" s="12"/>
      <c r="BE36" s="22" t="str" cm="1">
        <f t="array" ref="BE36">GenerateTextResult(AD36,AD37,AD39,AZ41)</f>
        <v>При сложении отрицательного и отрицательного слагаемых получено положительное число. Результат выполнения операции не верен из-за возникшего переполнения.</v>
      </c>
      <c r="BF36" s="22"/>
      <c r="BG36" s="22"/>
      <c r="BH36" s="22"/>
      <c r="BI36" s="22"/>
      <c r="BJ36" s="22"/>
      <c r="BK36" s="22"/>
    </row>
    <row r="37" spans="27:63">
      <c r="AA37" s="17"/>
      <c r="AB37" s="6" t="str">
        <f>E12</f>
        <v>B9 =</v>
      </c>
      <c r="AC37" s="7"/>
      <c r="AD37" s="7" t="str">
        <f>G12</f>
        <v>1</v>
      </c>
      <c r="AE37" s="7" t="str">
        <f t="shared" ref="AE37:AV37" si="42">H12</f>
        <v>0</v>
      </c>
      <c r="AF37" s="7" t="str">
        <f t="shared" si="42"/>
        <v>1</v>
      </c>
      <c r="AG37" s="7" t="str">
        <f t="shared" si="42"/>
        <v>0</v>
      </c>
      <c r="AH37" s="7" t="str">
        <f t="shared" si="42"/>
        <v>.</v>
      </c>
      <c r="AI37" s="7" t="str">
        <f t="shared" si="42"/>
        <v>0</v>
      </c>
      <c r="AJ37" s="7" t="str">
        <f t="shared" si="42"/>
        <v>0</v>
      </c>
      <c r="AK37" s="7" t="str">
        <f t="shared" si="42"/>
        <v>0</v>
      </c>
      <c r="AL37" s="7" t="str">
        <f t="shared" si="42"/>
        <v>0</v>
      </c>
      <c r="AM37" s="7" t="str">
        <f t="shared" si="42"/>
        <v>.</v>
      </c>
      <c r="AN37" s="7" t="str">
        <f t="shared" si="42"/>
        <v>0</v>
      </c>
      <c r="AO37" s="7" t="str">
        <f t="shared" si="42"/>
        <v>1</v>
      </c>
      <c r="AP37" s="7" t="str">
        <f t="shared" si="42"/>
        <v>1</v>
      </c>
      <c r="AQ37" s="7" t="str">
        <f t="shared" si="42"/>
        <v>1</v>
      </c>
      <c r="AR37" s="7" t="str">
        <f t="shared" si="42"/>
        <v>.</v>
      </c>
      <c r="AS37" s="7" t="str">
        <f t="shared" si="42"/>
        <v>1</v>
      </c>
      <c r="AT37" s="7" t="str">
        <f t="shared" si="42"/>
        <v>1</v>
      </c>
      <c r="AU37" s="7" t="str">
        <f t="shared" si="42"/>
        <v>0</v>
      </c>
      <c r="AV37" s="7" t="str">
        <f t="shared" si="42"/>
        <v>1</v>
      </c>
      <c r="AW37" s="7"/>
      <c r="AX37" s="15"/>
      <c r="AY37" s="11" t="s">
        <v>45</v>
      </c>
      <c r="AZ37" s="12" t="s">
        <v>58</v>
      </c>
      <c r="BA37" s="12"/>
      <c r="BB37" s="7"/>
      <c r="BC37" s="12">
        <f>C12</f>
        <v>-24451</v>
      </c>
      <c r="BD37" s="12"/>
      <c r="BE37" s="22"/>
      <c r="BF37" s="22"/>
      <c r="BG37" s="22"/>
      <c r="BH37" s="22"/>
      <c r="BI37" s="22"/>
      <c r="BJ37" s="22"/>
      <c r="BK37" s="22"/>
    </row>
    <row r="38" spans="27:63">
      <c r="AA38" s="17"/>
      <c r="AB38" s="6"/>
      <c r="AD38" s="4" t="s">
        <v>41</v>
      </c>
      <c r="AE38" s="4" t="s">
        <v>41</v>
      </c>
      <c r="AF38" s="4" t="s">
        <v>41</v>
      </c>
      <c r="AG38" s="4" t="s">
        <v>41</v>
      </c>
      <c r="AH38" s="4" t="s">
        <v>41</v>
      </c>
      <c r="AI38" s="4" t="s">
        <v>41</v>
      </c>
      <c r="AJ38" s="4" t="s">
        <v>41</v>
      </c>
      <c r="AK38" s="4" t="s">
        <v>41</v>
      </c>
      <c r="AL38" s="4" t="s">
        <v>41</v>
      </c>
      <c r="AM38" s="4" t="s">
        <v>41</v>
      </c>
      <c r="AN38" s="4" t="s">
        <v>41</v>
      </c>
      <c r="AO38" s="4" t="s">
        <v>41</v>
      </c>
      <c r="AP38" s="4" t="s">
        <v>41</v>
      </c>
      <c r="AQ38" s="4" t="s">
        <v>41</v>
      </c>
      <c r="AR38" s="4" t="s">
        <v>41</v>
      </c>
      <c r="AS38" s="4" t="s">
        <v>41</v>
      </c>
      <c r="AT38" s="4" t="s">
        <v>41</v>
      </c>
      <c r="AU38" s="4" t="s">
        <v>41</v>
      </c>
      <c r="AV38" s="4" t="s">
        <v>41</v>
      </c>
      <c r="AX38" s="15"/>
      <c r="AZ38" s="13" t="s">
        <v>46</v>
      </c>
      <c r="BA38" s="13"/>
      <c r="BB38" s="10" t="s">
        <v>45</v>
      </c>
      <c r="BC38" s="12" t="str">
        <f>AZ38</f>
        <v>--------</v>
      </c>
      <c r="BD38" s="12"/>
      <c r="BE38" s="22"/>
      <c r="BF38" s="22"/>
      <c r="BG38" s="22"/>
      <c r="BH38" s="22"/>
      <c r="BI38" s="22"/>
      <c r="BJ38" s="22"/>
      <c r="BK38" s="22"/>
    </row>
    <row r="39" spans="27:63">
      <c r="AA39" s="17"/>
      <c r="AB39" s="6"/>
      <c r="AD39" s="7">
        <f t="shared" ref="AD39:AF39" si="43">MOD(AD37+AD36+AD35,2)</f>
        <v>0</v>
      </c>
      <c r="AE39" s="7">
        <f t="shared" si="43"/>
        <v>1</v>
      </c>
      <c r="AF39" s="7">
        <f t="shared" si="43"/>
        <v>1</v>
      </c>
      <c r="AG39" s="7">
        <f>MOD(AG37+AG36+AG35,2)</f>
        <v>0</v>
      </c>
      <c r="AH39" s="7" t="str">
        <f>AH37</f>
        <v>.</v>
      </c>
      <c r="AI39" s="7">
        <f t="shared" ref="AI39:AL39" si="44">MOD(AI37+AI36+AI35,2)</f>
        <v>0</v>
      </c>
      <c r="AJ39" s="7">
        <f t="shared" si="44"/>
        <v>0</v>
      </c>
      <c r="AK39" s="7">
        <f t="shared" si="44"/>
        <v>0</v>
      </c>
      <c r="AL39" s="7">
        <f t="shared" si="44"/>
        <v>1</v>
      </c>
      <c r="AM39" s="7" t="str">
        <f>AM37</f>
        <v>.</v>
      </c>
      <c r="AN39" s="7">
        <f t="shared" ref="AN39:AQ39" si="45">MOD(AN37+AN36+AN35,2)</f>
        <v>1</v>
      </c>
      <c r="AO39" s="7">
        <f t="shared" si="45"/>
        <v>0</v>
      </c>
      <c r="AP39" s="7">
        <f t="shared" si="45"/>
        <v>1</v>
      </c>
      <c r="AQ39" s="7">
        <f t="shared" si="45"/>
        <v>0</v>
      </c>
      <c r="AR39" s="7" t="str">
        <f>AR37</f>
        <v>.</v>
      </c>
      <c r="AS39" s="7">
        <f t="shared" ref="AS39:AU39" si="46">MOD(AS37+AS36+AS35,2)</f>
        <v>0</v>
      </c>
      <c r="AT39" s="7">
        <f t="shared" si="46"/>
        <v>0</v>
      </c>
      <c r="AU39" s="7">
        <f t="shared" si="46"/>
        <v>1</v>
      </c>
      <c r="AV39" s="7">
        <f>MOD(AV37+AV36+AV35,2)</f>
        <v>1</v>
      </c>
      <c r="AW39" s="9" t="s">
        <v>42</v>
      </c>
      <c r="AX39" s="15" cm="1">
        <f t="array" ref="AX39">BinaryToDecimal(AD39:AV39)</f>
        <v>24995</v>
      </c>
      <c r="AZ39" s="14">
        <f>C11+C12</f>
        <v>-40541</v>
      </c>
      <c r="BA39" s="14"/>
      <c r="BC39" s="12">
        <f>BC37+BC36</f>
        <v>-40541</v>
      </c>
      <c r="BD39" s="12"/>
      <c r="BE39" s="22"/>
      <c r="BF39" s="22"/>
      <c r="BG39" s="22"/>
      <c r="BH39" s="22"/>
      <c r="BI39" s="22"/>
      <c r="BJ39" s="22"/>
      <c r="BK39" s="22"/>
    </row>
    <row r="40" spans="27:63">
      <c r="AA40" s="17"/>
      <c r="AB40" s="6"/>
      <c r="BE40" s="22"/>
      <c r="BF40" s="22"/>
      <c r="BG40" s="22"/>
      <c r="BH40" s="22"/>
      <c r="BI40" s="22"/>
      <c r="BJ40" s="22"/>
      <c r="BK40" s="22"/>
    </row>
    <row r="41" spans="27:63">
      <c r="AA41" s="17"/>
      <c r="AB41" s="6"/>
      <c r="AC41" s="21" t="s">
        <v>47</v>
      </c>
      <c r="AD41" s="21"/>
      <c r="AE41" s="20">
        <f>AC35</f>
        <v>1</v>
      </c>
      <c r="AF41" s="21"/>
      <c r="AG41" t="s">
        <v>48</v>
      </c>
      <c r="AH41" s="21" t="s">
        <v>50</v>
      </c>
      <c r="AI41" s="21"/>
      <c r="AJ41" s="20">
        <f>IF(MOD(SUM(AS39:AV39,AN39:AQ39),2)=1,0,1)</f>
        <v>1</v>
      </c>
      <c r="AK41" s="21"/>
      <c r="AM41" s="21" t="s">
        <v>49</v>
      </c>
      <c r="AN41" s="21"/>
      <c r="AO41" s="20">
        <f>AQ35</f>
        <v>1</v>
      </c>
      <c r="AP41" s="21"/>
      <c r="AR41" s="21" t="s">
        <v>51</v>
      </c>
      <c r="AS41" s="21"/>
      <c r="AT41" s="20">
        <f>IF(SUM(AS39:AV39,AN39:AQ39,AI39:AL39,AD39:AG39)&lt;&gt;0,0,1)</f>
        <v>0</v>
      </c>
      <c r="AU41" s="21"/>
      <c r="AW41" t="s">
        <v>52</v>
      </c>
      <c r="AX41" s="15">
        <f>AD39</f>
        <v>0</v>
      </c>
      <c r="AY41" t="s">
        <v>53</v>
      </c>
      <c r="AZ41" s="16">
        <f>IF(AND(INT(AD37)=INT(AD36),INT(AD36)&lt;&gt;INT(AD39)),1,0)</f>
        <v>1</v>
      </c>
      <c r="BA41" s="16"/>
    </row>
    <row r="43" spans="27:63">
      <c r="AA43" s="16">
        <v>6</v>
      </c>
      <c r="AC43" s="8">
        <f t="shared" ref="AC43:AE43" si="47">FLOOR((AD44+AD45+AD43)/2,1)</f>
        <v>0</v>
      </c>
      <c r="AD43" s="8">
        <f t="shared" si="47"/>
        <v>0</v>
      </c>
      <c r="AE43" s="8">
        <f t="shared" si="47"/>
        <v>0</v>
      </c>
      <c r="AF43" s="8">
        <f>FLOOR((AG44+AG45+AG43)/2,1)</f>
        <v>0</v>
      </c>
      <c r="AG43" s="8">
        <f>FLOOR((AI44+AI45+AI43)/2,1)</f>
        <v>0</v>
      </c>
      <c r="AH43" s="8"/>
      <c r="AI43" s="8">
        <f t="shared" ref="AI43:AJ43" si="48">FLOOR((AJ44+AJ45+AJ43)/2,1)</f>
        <v>0</v>
      </c>
      <c r="AJ43" s="8">
        <f t="shared" si="48"/>
        <v>0</v>
      </c>
      <c r="AK43" s="8">
        <f>FLOOR((AL44+AL45+AL43)/2,1)</f>
        <v>0</v>
      </c>
      <c r="AL43" s="8">
        <f>FLOOR((AN44+AN45+AN43)/2,1)</f>
        <v>0</v>
      </c>
      <c r="AM43" s="8"/>
      <c r="AN43" s="8">
        <f t="shared" ref="AN43" si="49">FLOOR((AO44+AO45+AO43)/2,1)</f>
        <v>0</v>
      </c>
      <c r="AO43" s="8">
        <f>FLOOR((AP44+AP45+AP43)/2,1)</f>
        <v>1</v>
      </c>
      <c r="AP43" s="8">
        <f>FLOOR((AQ44+AQ45+AQ43)/2,1)</f>
        <v>0</v>
      </c>
      <c r="AQ43" s="8">
        <f>FLOOR((AS44+AS45+AS43)/2,1)</f>
        <v>0</v>
      </c>
      <c r="AR43" s="8"/>
      <c r="AS43" s="8">
        <f t="shared" ref="AS43:AU43" si="50">FLOOR((AT44+AT45+AT43)/2,1)</f>
        <v>0</v>
      </c>
      <c r="AT43" s="8">
        <f t="shared" si="50"/>
        <v>0</v>
      </c>
      <c r="AU43" s="8">
        <f t="shared" si="50"/>
        <v>0</v>
      </c>
      <c r="AV43" s="8">
        <f>FLOOR((AW44+AW45+AW43)/2,1)</f>
        <v>0</v>
      </c>
      <c r="AW43" s="7"/>
      <c r="AX43" s="15"/>
      <c r="AY43" s="7"/>
      <c r="AZ43" s="7"/>
      <c r="BA43" s="7"/>
      <c r="BC43" s="7"/>
      <c r="BD43" s="7"/>
      <c r="BE43" s="7"/>
      <c r="BF43" s="7"/>
      <c r="BG43" s="7"/>
      <c r="BH43" s="7"/>
    </row>
    <row r="44" spans="27:63">
      <c r="AA44" s="17"/>
      <c r="AB44" s="6" t="str">
        <f>E4</f>
        <v>B1 =</v>
      </c>
      <c r="AC44" s="7"/>
      <c r="AD44" s="7" t="str">
        <f>G4</f>
        <v>0</v>
      </c>
      <c r="AE44" s="7" t="str">
        <f t="shared" ref="AE44:AV44" si="51">H4</f>
        <v>0</v>
      </c>
      <c r="AF44" s="7" t="str">
        <f t="shared" si="51"/>
        <v>1</v>
      </c>
      <c r="AG44" s="7" t="str">
        <f t="shared" si="51"/>
        <v>0</v>
      </c>
      <c r="AH44" s="7" t="str">
        <f t="shared" si="51"/>
        <v>.</v>
      </c>
      <c r="AI44" s="7" t="str">
        <f t="shared" si="51"/>
        <v>0</v>
      </c>
      <c r="AJ44" s="7" t="str">
        <f t="shared" si="51"/>
        <v>0</v>
      </c>
      <c r="AK44" s="7" t="str">
        <f t="shared" si="51"/>
        <v>0</v>
      </c>
      <c r="AL44" s="7" t="str">
        <f t="shared" si="51"/>
        <v>0</v>
      </c>
      <c r="AM44" s="7" t="str">
        <f t="shared" si="51"/>
        <v>.</v>
      </c>
      <c r="AN44" s="7" t="str">
        <f t="shared" si="51"/>
        <v>1</v>
      </c>
      <c r="AO44" s="7" t="str">
        <f t="shared" si="51"/>
        <v>0</v>
      </c>
      <c r="AP44" s="7" t="str">
        <f t="shared" si="51"/>
        <v>1</v>
      </c>
      <c r="AQ44" s="7" t="str">
        <f t="shared" si="51"/>
        <v>0</v>
      </c>
      <c r="AR44" s="7" t="str">
        <f t="shared" si="51"/>
        <v>.</v>
      </c>
      <c r="AS44" s="7" t="str">
        <f t="shared" si="51"/>
        <v>1</v>
      </c>
      <c r="AT44" s="7" t="str">
        <f t="shared" si="51"/>
        <v>0</v>
      </c>
      <c r="AU44" s="7" t="str">
        <f t="shared" si="51"/>
        <v>0</v>
      </c>
      <c r="AV44" s="7" t="str">
        <f t="shared" si="51"/>
        <v>1</v>
      </c>
      <c r="AW44" s="7"/>
      <c r="AX44" s="15"/>
      <c r="AY44" s="7"/>
      <c r="AZ44" s="12" t="s">
        <v>43</v>
      </c>
      <c r="BA44" s="12"/>
      <c r="BB44" s="7"/>
      <c r="BC44" s="12">
        <f>C4</f>
        <v>8361</v>
      </c>
      <c r="BD44" s="12"/>
      <c r="BE44" s="22" t="str" cm="1">
        <f t="array" ref="BE44">GenerateTextResult(AD44,AD45,AD47,AZ49)</f>
        <v>При сложении положительного и отрицательного слагаемых получено отрицательное число. Результат выполнения операции верный и корректный, совпадает с суммой десятичных эквивалентов.</v>
      </c>
      <c r="BF44" s="22"/>
      <c r="BG44" s="22"/>
      <c r="BH44" s="22"/>
      <c r="BI44" s="22"/>
      <c r="BJ44" s="22"/>
      <c r="BK44" s="22"/>
    </row>
    <row r="45" spans="27:63">
      <c r="AA45" s="17"/>
      <c r="AB45" s="6" t="str">
        <f>E11</f>
        <v>B8 =</v>
      </c>
      <c r="AC45" s="7"/>
      <c r="AD45" s="7" t="str">
        <f>G11</f>
        <v>1</v>
      </c>
      <c r="AE45" s="7" t="str">
        <f t="shared" ref="AE45:AV45" si="52">H11</f>
        <v>1</v>
      </c>
      <c r="AF45" s="7" t="str">
        <f t="shared" si="52"/>
        <v>0</v>
      </c>
      <c r="AG45" s="7" t="str">
        <f t="shared" si="52"/>
        <v>0</v>
      </c>
      <c r="AH45" s="7" t="str">
        <f t="shared" si="52"/>
        <v>.</v>
      </c>
      <c r="AI45" s="7" t="str">
        <f t="shared" si="52"/>
        <v>0</v>
      </c>
      <c r="AJ45" s="7" t="str">
        <f t="shared" si="52"/>
        <v>0</v>
      </c>
      <c r="AK45" s="7" t="str">
        <f t="shared" si="52"/>
        <v>0</v>
      </c>
      <c r="AL45" s="7" t="str">
        <f t="shared" si="52"/>
        <v>1</v>
      </c>
      <c r="AM45" s="7" t="str">
        <f t="shared" si="52"/>
        <v>.</v>
      </c>
      <c r="AN45" s="7" t="str">
        <f t="shared" si="52"/>
        <v>0</v>
      </c>
      <c r="AO45" s="7" t="str">
        <f t="shared" si="52"/>
        <v>0</v>
      </c>
      <c r="AP45" s="7" t="str">
        <f t="shared" si="52"/>
        <v>1</v>
      </c>
      <c r="AQ45" s="7" t="str">
        <f t="shared" si="52"/>
        <v>0</v>
      </c>
      <c r="AR45" s="7" t="str">
        <f t="shared" si="52"/>
        <v>.</v>
      </c>
      <c r="AS45" s="7" t="str">
        <f t="shared" si="52"/>
        <v>0</v>
      </c>
      <c r="AT45" s="7" t="str">
        <f t="shared" si="52"/>
        <v>1</v>
      </c>
      <c r="AU45" s="7" t="str">
        <f t="shared" si="52"/>
        <v>1</v>
      </c>
      <c r="AV45" s="7" t="str">
        <f t="shared" si="52"/>
        <v>0</v>
      </c>
      <c r="AW45" s="7"/>
      <c r="AX45" s="15"/>
      <c r="AY45" s="11" t="s">
        <v>45</v>
      </c>
      <c r="AZ45" s="12" t="s">
        <v>56</v>
      </c>
      <c r="BA45" s="12"/>
      <c r="BB45" s="7"/>
      <c r="BC45" s="12">
        <f>C11</f>
        <v>-16090</v>
      </c>
      <c r="BD45" s="12"/>
      <c r="BE45" s="22"/>
      <c r="BF45" s="22"/>
      <c r="BG45" s="22"/>
      <c r="BH45" s="22"/>
      <c r="BI45" s="22"/>
      <c r="BJ45" s="22"/>
      <c r="BK45" s="22"/>
    </row>
    <row r="46" spans="27:63">
      <c r="AA46" s="17"/>
      <c r="AB46" s="6"/>
      <c r="AD46" s="4" t="s">
        <v>41</v>
      </c>
      <c r="AE46" s="4" t="s">
        <v>41</v>
      </c>
      <c r="AF46" s="4" t="s">
        <v>41</v>
      </c>
      <c r="AG46" s="4" t="s">
        <v>41</v>
      </c>
      <c r="AH46" s="4" t="s">
        <v>41</v>
      </c>
      <c r="AI46" s="4" t="s">
        <v>41</v>
      </c>
      <c r="AJ46" s="4" t="s">
        <v>41</v>
      </c>
      <c r="AK46" s="4" t="s">
        <v>41</v>
      </c>
      <c r="AL46" s="4" t="s">
        <v>41</v>
      </c>
      <c r="AM46" s="4" t="s">
        <v>41</v>
      </c>
      <c r="AN46" s="4" t="s">
        <v>41</v>
      </c>
      <c r="AO46" s="4" t="s">
        <v>41</v>
      </c>
      <c r="AP46" s="4" t="s">
        <v>41</v>
      </c>
      <c r="AQ46" s="4" t="s">
        <v>41</v>
      </c>
      <c r="AR46" s="4" t="s">
        <v>41</v>
      </c>
      <c r="AS46" s="4" t="s">
        <v>41</v>
      </c>
      <c r="AT46" s="4" t="s">
        <v>41</v>
      </c>
      <c r="AU46" s="4" t="s">
        <v>41</v>
      </c>
      <c r="AV46" s="4" t="s">
        <v>41</v>
      </c>
      <c r="AX46" s="15"/>
      <c r="AZ46" s="13" t="s">
        <v>46</v>
      </c>
      <c r="BA46" s="13"/>
      <c r="BB46" s="10" t="s">
        <v>45</v>
      </c>
      <c r="BC46" s="12" t="str">
        <f>AZ46</f>
        <v>--------</v>
      </c>
      <c r="BD46" s="12"/>
      <c r="BE46" s="22"/>
      <c r="BF46" s="22"/>
      <c r="BG46" s="22"/>
      <c r="BH46" s="22"/>
      <c r="BI46" s="22"/>
      <c r="BJ46" s="22"/>
      <c r="BK46" s="22"/>
    </row>
    <row r="47" spans="27:63">
      <c r="AA47" s="17"/>
      <c r="AB47" s="6"/>
      <c r="AD47" s="7">
        <f t="shared" ref="AD47:AF47" si="53">MOD(AD45+AD44+AD43,2)</f>
        <v>1</v>
      </c>
      <c r="AE47" s="7">
        <f t="shared" si="53"/>
        <v>1</v>
      </c>
      <c r="AF47" s="7">
        <f t="shared" si="53"/>
        <v>1</v>
      </c>
      <c r="AG47" s="7">
        <f>MOD(AG45+AG44+AG43,2)</f>
        <v>0</v>
      </c>
      <c r="AH47" s="7" t="str">
        <f>AH45</f>
        <v>.</v>
      </c>
      <c r="AI47" s="7">
        <f t="shared" ref="AI47:AL47" si="54">MOD(AI45+AI44+AI43,2)</f>
        <v>0</v>
      </c>
      <c r="AJ47" s="7">
        <f t="shared" si="54"/>
        <v>0</v>
      </c>
      <c r="AK47" s="7">
        <f t="shared" si="54"/>
        <v>0</v>
      </c>
      <c r="AL47" s="7">
        <f t="shared" si="54"/>
        <v>1</v>
      </c>
      <c r="AM47" s="7" t="str">
        <f>AM45</f>
        <v>.</v>
      </c>
      <c r="AN47" s="7">
        <f t="shared" ref="AN47:AQ47" si="55">MOD(AN45+AN44+AN43,2)</f>
        <v>1</v>
      </c>
      <c r="AO47" s="7">
        <f t="shared" si="55"/>
        <v>1</v>
      </c>
      <c r="AP47" s="7">
        <f t="shared" si="55"/>
        <v>0</v>
      </c>
      <c r="AQ47" s="7">
        <f t="shared" si="55"/>
        <v>0</v>
      </c>
      <c r="AR47" s="7" t="str">
        <f>AR45</f>
        <v>.</v>
      </c>
      <c r="AS47" s="7">
        <f t="shared" ref="AS47:AU47" si="56">MOD(AS45+AS44+AS43,2)</f>
        <v>1</v>
      </c>
      <c r="AT47" s="7">
        <f t="shared" si="56"/>
        <v>1</v>
      </c>
      <c r="AU47" s="7">
        <f t="shared" si="56"/>
        <v>1</v>
      </c>
      <c r="AV47" s="7">
        <f>MOD(AV45+AV44+AV43,2)</f>
        <v>1</v>
      </c>
      <c r="AW47" s="9" t="s">
        <v>42</v>
      </c>
      <c r="AX47" s="15" cm="1">
        <f t="array" ref="AX47">BinaryToDecimal(AD47:AV47)</f>
        <v>-7729</v>
      </c>
      <c r="AZ47" s="14">
        <f>C4+C11</f>
        <v>-7729</v>
      </c>
      <c r="BA47" s="14"/>
      <c r="BC47" s="12">
        <f>BC45+BC44</f>
        <v>-7729</v>
      </c>
      <c r="BD47" s="12"/>
      <c r="BE47" s="22"/>
      <c r="BF47" s="22"/>
      <c r="BG47" s="22"/>
      <c r="BH47" s="22"/>
      <c r="BI47" s="22"/>
      <c r="BJ47" s="22"/>
      <c r="BK47" s="22"/>
    </row>
    <row r="48" spans="27:63">
      <c r="AA48" s="17"/>
      <c r="AB48" s="6"/>
      <c r="BE48" s="22"/>
      <c r="BF48" s="22"/>
      <c r="BG48" s="22"/>
      <c r="BH48" s="22"/>
      <c r="BI48" s="22"/>
      <c r="BJ48" s="22"/>
      <c r="BK48" s="22"/>
    </row>
    <row r="49" spans="27:63">
      <c r="AA49" s="17"/>
      <c r="AB49" s="6"/>
      <c r="AC49" s="21" t="s">
        <v>47</v>
      </c>
      <c r="AD49" s="21"/>
      <c r="AE49" s="20">
        <f>AC43</f>
        <v>0</v>
      </c>
      <c r="AF49" s="21"/>
      <c r="AG49" t="s">
        <v>48</v>
      </c>
      <c r="AH49" s="21" t="s">
        <v>50</v>
      </c>
      <c r="AI49" s="21"/>
      <c r="AJ49" s="20">
        <f>IF(MOD(SUM(AS47:AV47,AN47:AQ47),2)=1,0,1)</f>
        <v>1</v>
      </c>
      <c r="AK49" s="21"/>
      <c r="AM49" s="21" t="s">
        <v>49</v>
      </c>
      <c r="AN49" s="21"/>
      <c r="AO49" s="20">
        <f>AQ43</f>
        <v>0</v>
      </c>
      <c r="AP49" s="21"/>
      <c r="AR49" s="21" t="s">
        <v>51</v>
      </c>
      <c r="AS49" s="21"/>
      <c r="AT49" s="20">
        <f>IF(SUM(AS47:AV47,AN47:AQ47,AI47:AL47,AD47:AG47)&lt;&gt;0,0,1)</f>
        <v>0</v>
      </c>
      <c r="AU49" s="21"/>
      <c r="AW49" t="s">
        <v>52</v>
      </c>
      <c r="AX49" s="15">
        <f>AD47</f>
        <v>1</v>
      </c>
      <c r="AY49" t="s">
        <v>53</v>
      </c>
      <c r="AZ49" s="16">
        <f>IF(AND(INT(AD45)=INT(AD44),INT(AD44)&lt;&gt;INT(AD47)),1,0)</f>
        <v>0</v>
      </c>
      <c r="BA49" s="16"/>
    </row>
    <row r="51" spans="27:63">
      <c r="AA51" s="16">
        <v>7</v>
      </c>
      <c r="AC51" s="8">
        <f t="shared" ref="AC51:AE51" si="57">FLOOR((AD52+AD53+AD51)/2,1)</f>
        <v>1</v>
      </c>
      <c r="AD51" s="8">
        <f t="shared" si="57"/>
        <v>1</v>
      </c>
      <c r="AE51" s="8">
        <f t="shared" si="57"/>
        <v>1</v>
      </c>
      <c r="AF51" s="8">
        <f>FLOOR((AG52+AG53+AG51)/2,1)</f>
        <v>1</v>
      </c>
      <c r="AG51" s="8">
        <f>FLOOR((AI52+AI53+AI51)/2,1)</f>
        <v>1</v>
      </c>
      <c r="AH51" s="8"/>
      <c r="AI51" s="8">
        <f t="shared" ref="AI51:AJ51" si="58">FLOOR((AJ52+AJ53+AJ51)/2,1)</f>
        <v>1</v>
      </c>
      <c r="AJ51" s="8">
        <f t="shared" si="58"/>
        <v>1</v>
      </c>
      <c r="AK51" s="8">
        <f>FLOOR((AL52+AL53+AL51)/2,1)</f>
        <v>1</v>
      </c>
      <c r="AL51" s="8">
        <f>FLOOR((AN52+AN53+AN51)/2,1)</f>
        <v>1</v>
      </c>
      <c r="AM51" s="8"/>
      <c r="AN51" s="8">
        <f t="shared" ref="AN51" si="59">FLOOR((AO52+AO53+AO51)/2,1)</f>
        <v>0</v>
      </c>
      <c r="AO51" s="8">
        <f>FLOOR((AP52+AP53+AP51)/2,1)</f>
        <v>0</v>
      </c>
      <c r="AP51" s="8">
        <f>FLOOR((AQ52+AQ53+AQ51)/2,1)</f>
        <v>0</v>
      </c>
      <c r="AQ51" s="8">
        <f>FLOOR((AS52+AS53+AS51)/2,1)</f>
        <v>1</v>
      </c>
      <c r="AR51" s="8"/>
      <c r="AS51" s="8">
        <f t="shared" ref="AS51:AU51" si="60">FLOOR((AT52+AT53+AT51)/2,1)</f>
        <v>1</v>
      </c>
      <c r="AT51" s="8">
        <f t="shared" si="60"/>
        <v>1</v>
      </c>
      <c r="AU51" s="8">
        <f t="shared" si="60"/>
        <v>1</v>
      </c>
      <c r="AV51" s="8">
        <f>FLOOR((AW52+AW53+AW51)/2,1)</f>
        <v>0</v>
      </c>
      <c r="AW51" s="7"/>
      <c r="AX51" s="15"/>
      <c r="AY51" s="7"/>
      <c r="AZ51" s="7"/>
      <c r="BA51" s="7"/>
      <c r="BC51" s="7"/>
      <c r="BD51" s="7"/>
      <c r="BE51" s="7"/>
      <c r="BF51" s="7"/>
      <c r="BG51" s="7"/>
      <c r="BH51" s="7"/>
    </row>
    <row r="52" spans="27:63">
      <c r="AA52" s="17"/>
      <c r="AB52" s="6" t="str">
        <f>E14</f>
        <v>B11 =</v>
      </c>
      <c r="AC52" s="7"/>
      <c r="AD52" s="7" t="str">
        <f>G14</f>
        <v>1</v>
      </c>
      <c r="AE52" s="7" t="str">
        <f t="shared" ref="AE52:AV52" si="61">H14</f>
        <v>1</v>
      </c>
      <c r="AF52" s="7" t="str">
        <f t="shared" si="61"/>
        <v>1</v>
      </c>
      <c r="AG52" s="7" t="str">
        <f t="shared" si="61"/>
        <v>0</v>
      </c>
      <c r="AH52" s="7" t="str">
        <f t="shared" si="61"/>
        <v>.</v>
      </c>
      <c r="AI52" s="7" t="str">
        <f t="shared" si="61"/>
        <v>0</v>
      </c>
      <c r="AJ52" s="7" t="str">
        <f t="shared" si="61"/>
        <v>0</v>
      </c>
      <c r="AK52" s="7" t="str">
        <f t="shared" si="61"/>
        <v>0</v>
      </c>
      <c r="AL52" s="7" t="str">
        <f t="shared" si="61"/>
        <v>1</v>
      </c>
      <c r="AM52" s="7" t="str">
        <f t="shared" si="61"/>
        <v>.</v>
      </c>
      <c r="AN52" s="7" t="str">
        <f t="shared" si="61"/>
        <v>1</v>
      </c>
      <c r="AO52" s="7" t="str">
        <f t="shared" si="61"/>
        <v>1</v>
      </c>
      <c r="AP52" s="7" t="str">
        <f t="shared" si="61"/>
        <v>0</v>
      </c>
      <c r="AQ52" s="7" t="str">
        <f t="shared" si="61"/>
        <v>0</v>
      </c>
      <c r="AR52" s="7" t="str">
        <f t="shared" si="61"/>
        <v>.</v>
      </c>
      <c r="AS52" s="7" t="str">
        <f t="shared" si="61"/>
        <v>1</v>
      </c>
      <c r="AT52" s="7" t="str">
        <f t="shared" si="61"/>
        <v>1</v>
      </c>
      <c r="AU52" s="7" t="str">
        <f t="shared" si="61"/>
        <v>1</v>
      </c>
      <c r="AV52" s="7" t="str">
        <f t="shared" si="61"/>
        <v>1</v>
      </c>
      <c r="AW52" s="7"/>
      <c r="AX52" s="15"/>
      <c r="AY52" s="7"/>
      <c r="AZ52" s="12" t="s">
        <v>59</v>
      </c>
      <c r="BA52" s="12"/>
      <c r="BB52" s="7"/>
      <c r="BC52" s="12">
        <f>C14</f>
        <v>-7729</v>
      </c>
      <c r="BD52" s="12"/>
      <c r="BE52" s="22" t="str" cm="1">
        <f t="array" ref="BE52">GenerateTextResult(AD52,AD53,AD55,AZ57)</f>
        <v>При сложении отрицательного и положительного слагаемых получено положительное число. Результат выполнения операции верный и корректный, совпадает с суммой десятичных эквивалентов.</v>
      </c>
      <c r="BF52" s="22"/>
      <c r="BG52" s="22"/>
      <c r="BH52" s="22"/>
      <c r="BI52" s="22"/>
      <c r="BJ52" s="22"/>
      <c r="BK52" s="22"/>
    </row>
    <row r="53" spans="27:63">
      <c r="AA53" s="17"/>
      <c r="AB53" s="6" t="str">
        <f>E6</f>
        <v>B3 =</v>
      </c>
      <c r="AC53" s="7"/>
      <c r="AD53" s="7" t="str">
        <f>G6</f>
        <v>0</v>
      </c>
      <c r="AE53" s="7" t="str">
        <f t="shared" ref="AE53:AV53" si="62">H6</f>
        <v>1</v>
      </c>
      <c r="AF53" s="7" t="str">
        <f t="shared" si="62"/>
        <v>0</v>
      </c>
      <c r="AG53" s="7" t="str">
        <f t="shared" si="62"/>
        <v>1</v>
      </c>
      <c r="AH53" s="7" t="str">
        <f t="shared" si="62"/>
        <v>.</v>
      </c>
      <c r="AI53" s="7" t="str">
        <f t="shared" si="62"/>
        <v>1</v>
      </c>
      <c r="AJ53" s="7" t="str">
        <f t="shared" si="62"/>
        <v>1</v>
      </c>
      <c r="AK53" s="7" t="str">
        <f t="shared" si="62"/>
        <v>1</v>
      </c>
      <c r="AL53" s="7" t="str">
        <f t="shared" si="62"/>
        <v>1</v>
      </c>
      <c r="AM53" s="7" t="str">
        <f t="shared" si="62"/>
        <v>.</v>
      </c>
      <c r="AN53" s="7" t="str">
        <f t="shared" si="62"/>
        <v>1</v>
      </c>
      <c r="AO53" s="7" t="str">
        <f t="shared" si="62"/>
        <v>0</v>
      </c>
      <c r="AP53" s="7" t="str">
        <f t="shared" si="62"/>
        <v>0</v>
      </c>
      <c r="AQ53" s="7" t="str">
        <f t="shared" si="62"/>
        <v>0</v>
      </c>
      <c r="AR53" s="7" t="str">
        <f t="shared" si="62"/>
        <v>.</v>
      </c>
      <c r="AS53" s="7" t="str">
        <f t="shared" si="62"/>
        <v>0</v>
      </c>
      <c r="AT53" s="7" t="str">
        <f t="shared" si="62"/>
        <v>0</v>
      </c>
      <c r="AU53" s="7" t="str">
        <f t="shared" si="62"/>
        <v>1</v>
      </c>
      <c r="AV53" s="7" t="str">
        <f t="shared" si="62"/>
        <v>1</v>
      </c>
      <c r="AW53" s="7"/>
      <c r="AX53" s="15"/>
      <c r="AY53" s="11" t="s">
        <v>45</v>
      </c>
      <c r="AZ53" s="12" t="s">
        <v>54</v>
      </c>
      <c r="BA53" s="12"/>
      <c r="BB53" s="7"/>
      <c r="BC53" s="12">
        <f>C6</f>
        <v>24451</v>
      </c>
      <c r="BD53" s="12"/>
      <c r="BE53" s="22"/>
      <c r="BF53" s="22"/>
      <c r="BG53" s="22"/>
      <c r="BH53" s="22"/>
      <c r="BI53" s="22"/>
      <c r="BJ53" s="22"/>
      <c r="BK53" s="22"/>
    </row>
    <row r="54" spans="27:63">
      <c r="AA54" s="17"/>
      <c r="AB54" s="6"/>
      <c r="AD54" s="4" t="s">
        <v>41</v>
      </c>
      <c r="AE54" s="4" t="s">
        <v>41</v>
      </c>
      <c r="AF54" s="4" t="s">
        <v>41</v>
      </c>
      <c r="AG54" s="4" t="s">
        <v>41</v>
      </c>
      <c r="AH54" s="4" t="s">
        <v>41</v>
      </c>
      <c r="AI54" s="4" t="s">
        <v>41</v>
      </c>
      <c r="AJ54" s="4" t="s">
        <v>41</v>
      </c>
      <c r="AK54" s="4" t="s">
        <v>41</v>
      </c>
      <c r="AL54" s="4" t="s">
        <v>41</v>
      </c>
      <c r="AM54" s="4" t="s">
        <v>41</v>
      </c>
      <c r="AN54" s="4" t="s">
        <v>41</v>
      </c>
      <c r="AO54" s="4" t="s">
        <v>41</v>
      </c>
      <c r="AP54" s="4" t="s">
        <v>41</v>
      </c>
      <c r="AQ54" s="4" t="s">
        <v>41</v>
      </c>
      <c r="AR54" s="4" t="s">
        <v>41</v>
      </c>
      <c r="AS54" s="4" t="s">
        <v>41</v>
      </c>
      <c r="AT54" s="4" t="s">
        <v>41</v>
      </c>
      <c r="AU54" s="4" t="s">
        <v>41</v>
      </c>
      <c r="AV54" s="4" t="s">
        <v>41</v>
      </c>
      <c r="AX54" s="15"/>
      <c r="AZ54" s="13" t="s">
        <v>46</v>
      </c>
      <c r="BA54" s="13"/>
      <c r="BB54" s="10" t="s">
        <v>45</v>
      </c>
      <c r="BC54" s="12" t="str">
        <f>AZ54</f>
        <v>--------</v>
      </c>
      <c r="BD54" s="12"/>
      <c r="BE54" s="22"/>
      <c r="BF54" s="22"/>
      <c r="BG54" s="22"/>
      <c r="BH54" s="22"/>
      <c r="BI54" s="22"/>
      <c r="BJ54" s="22"/>
      <c r="BK54" s="22"/>
    </row>
    <row r="55" spans="27:63">
      <c r="AA55" s="17"/>
      <c r="AB55" s="6"/>
      <c r="AD55" s="7">
        <f t="shared" ref="AD55:AF55" si="63">MOD(AD53+AD52+AD51,2)</f>
        <v>0</v>
      </c>
      <c r="AE55" s="7">
        <f t="shared" si="63"/>
        <v>1</v>
      </c>
      <c r="AF55" s="7">
        <f t="shared" si="63"/>
        <v>0</v>
      </c>
      <c r="AG55" s="7">
        <f>MOD(AG53+AG52+AG51,2)</f>
        <v>0</v>
      </c>
      <c r="AH55" s="7" t="str">
        <f>AH53</f>
        <v>.</v>
      </c>
      <c r="AI55" s="7">
        <f t="shared" ref="AI55:AL55" si="64">MOD(AI53+AI52+AI51,2)</f>
        <v>0</v>
      </c>
      <c r="AJ55" s="7">
        <f t="shared" si="64"/>
        <v>0</v>
      </c>
      <c r="AK55" s="7">
        <f t="shared" si="64"/>
        <v>0</v>
      </c>
      <c r="AL55" s="7">
        <f t="shared" si="64"/>
        <v>1</v>
      </c>
      <c r="AM55" s="7" t="str">
        <f>AM53</f>
        <v>.</v>
      </c>
      <c r="AN55" s="7">
        <f t="shared" ref="AN55:AQ55" si="65">MOD(AN53+AN52+AN51,2)</f>
        <v>0</v>
      </c>
      <c r="AO55" s="7">
        <f t="shared" si="65"/>
        <v>1</v>
      </c>
      <c r="AP55" s="7">
        <f t="shared" si="65"/>
        <v>0</v>
      </c>
      <c r="AQ55" s="7">
        <f t="shared" si="65"/>
        <v>1</v>
      </c>
      <c r="AR55" s="7" t="str">
        <f>AR53</f>
        <v>.</v>
      </c>
      <c r="AS55" s="7">
        <f t="shared" ref="AS55:AU55" si="66">MOD(AS53+AS52+AS51,2)</f>
        <v>0</v>
      </c>
      <c r="AT55" s="7">
        <f t="shared" si="66"/>
        <v>0</v>
      </c>
      <c r="AU55" s="7">
        <f t="shared" si="66"/>
        <v>1</v>
      </c>
      <c r="AV55" s="7">
        <f>MOD(AV53+AV52+AV51,2)</f>
        <v>0</v>
      </c>
      <c r="AW55" s="9" t="s">
        <v>42</v>
      </c>
      <c r="AX55" s="15" cm="1">
        <f t="array" ref="AX55">BinaryToDecimal(AD55:AV55)</f>
        <v>16722</v>
      </c>
      <c r="AZ55" s="14">
        <f>C14+C6</f>
        <v>16722</v>
      </c>
      <c r="BA55" s="14"/>
      <c r="BC55" s="12">
        <f>BC53+BC52</f>
        <v>16722</v>
      </c>
      <c r="BD55" s="12"/>
      <c r="BE55" s="22"/>
      <c r="BF55" s="22"/>
      <c r="BG55" s="22"/>
      <c r="BH55" s="22"/>
      <c r="BI55" s="22"/>
      <c r="BJ55" s="22"/>
      <c r="BK55" s="22"/>
    </row>
    <row r="56" spans="27:63">
      <c r="AA56" s="17"/>
      <c r="AB56" s="6"/>
      <c r="BE56" s="22"/>
      <c r="BF56" s="22"/>
      <c r="BG56" s="22"/>
      <c r="BH56" s="22"/>
      <c r="BI56" s="22"/>
      <c r="BJ56" s="22"/>
      <c r="BK56" s="22"/>
    </row>
    <row r="57" spans="27:63">
      <c r="AA57" s="17"/>
      <c r="AB57" s="6"/>
      <c r="AC57" s="21" t="s">
        <v>47</v>
      </c>
      <c r="AD57" s="21"/>
      <c r="AE57" s="20">
        <f>AC51</f>
        <v>1</v>
      </c>
      <c r="AF57" s="21"/>
      <c r="AG57" t="s">
        <v>48</v>
      </c>
      <c r="AH57" s="21" t="s">
        <v>50</v>
      </c>
      <c r="AI57" s="21"/>
      <c r="AJ57" s="20">
        <f>IF(MOD(SUM(AS55:AV55,AN55:AQ55),2)=1,0,1)</f>
        <v>0</v>
      </c>
      <c r="AK57" s="21"/>
      <c r="AM57" s="21" t="s">
        <v>49</v>
      </c>
      <c r="AN57" s="21"/>
      <c r="AO57" s="20">
        <f>AQ51</f>
        <v>1</v>
      </c>
      <c r="AP57" s="21"/>
      <c r="AR57" s="21" t="s">
        <v>51</v>
      </c>
      <c r="AS57" s="21"/>
      <c r="AT57" s="20">
        <f>IF(SUM(AS55:AV55,AN55:AQ55,AI55:AL55,AD55:AG55)&lt;&gt;0,0,1)</f>
        <v>0</v>
      </c>
      <c r="AU57" s="21"/>
      <c r="AW57" t="s">
        <v>52</v>
      </c>
      <c r="AX57" s="15">
        <f>AD55</f>
        <v>0</v>
      </c>
      <c r="AY57" t="s">
        <v>53</v>
      </c>
      <c r="AZ57" s="16">
        <f>IF(AND(INT(AD53)=INT(AD52),INT(AD52)&lt;&gt;INT(AD55)),1,0)</f>
        <v>0</v>
      </c>
      <c r="BA57" s="16"/>
    </row>
  </sheetData>
  <mergeCells count="63">
    <mergeCell ref="BE52:BK56"/>
    <mergeCell ref="AC57:AD57"/>
    <mergeCell ref="AE57:AF57"/>
    <mergeCell ref="AH57:AI57"/>
    <mergeCell ref="AJ57:AK57"/>
    <mergeCell ref="AM57:AN57"/>
    <mergeCell ref="AO57:AP57"/>
    <mergeCell ref="AR57:AS57"/>
    <mergeCell ref="AT57:AU57"/>
    <mergeCell ref="BE44:BK48"/>
    <mergeCell ref="AC49:AD49"/>
    <mergeCell ref="AE49:AF49"/>
    <mergeCell ref="AH49:AI49"/>
    <mergeCell ref="AJ49:AK49"/>
    <mergeCell ref="AM49:AN49"/>
    <mergeCell ref="AO49:AP49"/>
    <mergeCell ref="AR49:AS49"/>
    <mergeCell ref="AT49:AU49"/>
    <mergeCell ref="BE36:BK40"/>
    <mergeCell ref="AC41:AD41"/>
    <mergeCell ref="AE41:AF41"/>
    <mergeCell ref="AH41:AI41"/>
    <mergeCell ref="AJ41:AK41"/>
    <mergeCell ref="AM41:AN41"/>
    <mergeCell ref="AO41:AP41"/>
    <mergeCell ref="AR41:AS41"/>
    <mergeCell ref="AT41:AU41"/>
    <mergeCell ref="BE28:BK32"/>
    <mergeCell ref="AC33:AD33"/>
    <mergeCell ref="AE33:AF33"/>
    <mergeCell ref="AH33:AI33"/>
    <mergeCell ref="AJ33:AK33"/>
    <mergeCell ref="AM33:AN33"/>
    <mergeCell ref="AO33:AP33"/>
    <mergeCell ref="AR33:AS33"/>
    <mergeCell ref="AT33:AU33"/>
    <mergeCell ref="AT9:AU9"/>
    <mergeCell ref="AR9:AS9"/>
    <mergeCell ref="BE20:BK24"/>
    <mergeCell ref="AC25:AD25"/>
    <mergeCell ref="AE25:AF25"/>
    <mergeCell ref="AH25:AI25"/>
    <mergeCell ref="AJ25:AK25"/>
    <mergeCell ref="AM25:AN25"/>
    <mergeCell ref="AO25:AP25"/>
    <mergeCell ref="AR25:AS25"/>
    <mergeCell ref="AT25:AU25"/>
    <mergeCell ref="AO9:AP9"/>
    <mergeCell ref="AM9:AN9"/>
    <mergeCell ref="BE4:BK8"/>
    <mergeCell ref="BE12:BK16"/>
    <mergeCell ref="AC17:AD17"/>
    <mergeCell ref="AE17:AF17"/>
    <mergeCell ref="AH17:AI17"/>
    <mergeCell ref="AJ17:AK17"/>
    <mergeCell ref="AM17:AN17"/>
    <mergeCell ref="AO17:AP17"/>
    <mergeCell ref="AR17:AS17"/>
    <mergeCell ref="AT17:AU17"/>
    <mergeCell ref="AC9:AD9"/>
    <mergeCell ref="AE9:AF9"/>
    <mergeCell ref="AJ9:AK9"/>
    <mergeCell ref="AH9:AI9"/>
  </mergeCells>
  <conditionalFormatting sqref="G4:Y7">
    <cfRule type="cellIs" dxfId="1" priority="2" operator="equal">
      <formula>"0"</formula>
    </cfRule>
    <cfRule type="cellIs" dxfId="0" priority="1" operator="equal">
      <formula>"1"</formula>
    </cfRule>
  </conditionalFormatting>
  <pageMargins left="0.7" right="0.7" top="0.75" bottom="0.75" header="0.3" footer="0.3"/>
  <pageSetup paperSize="9" orientation="portrait" r:id="rId1"/>
  <headerFooter>
    <oddHeader xml:space="preserve">&amp;CЯрослав Макогон Вадимович
Вариант №15  &amp;F
</oddHeader>
    <oddFooter>&amp;C&amp;D &amp;T</oddFooter>
  </headerFooter>
  <ignoredErrors>
    <ignoredError sqref="AH7 AM7 AR7 AH8:AS8 AH10:AS55 AH9:AI9 AK9:AN9 AP9:AS9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Ярослав Макогон</dc:creator>
  <cp:lastModifiedBy>YAROSLAV</cp:lastModifiedBy>
  <dcterms:created xsi:type="dcterms:W3CDTF">2015-06-05T18:17:20Z</dcterms:created>
  <dcterms:modified xsi:type="dcterms:W3CDTF">2024-12-19T09:19:10Z</dcterms:modified>
</cp:coreProperties>
</file>